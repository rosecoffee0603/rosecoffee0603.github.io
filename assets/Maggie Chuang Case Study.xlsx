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s-roam-01\profiles$\cchuang\Downloads\"/>
    </mc:Choice>
  </mc:AlternateContent>
  <xr:revisionPtr revIDLastSave="0" documentId="13_ncr:1_{F77E56BB-A798-4749-91DC-1DA7D84E033F}" xr6:coauthVersionLast="47" xr6:coauthVersionMax="47" xr10:uidLastSave="{00000000-0000-0000-0000-000000000000}"/>
  <bookViews>
    <workbookView xWindow="23880" yWindow="-120" windowWidth="24240" windowHeight="13140" xr2:uid="{00000000-000D-0000-FFFF-FFFF00000000}"/>
  </bookViews>
  <sheets>
    <sheet name="DATA" sheetId="1" r:id="rId1"/>
    <sheet name="Overview Summary" sheetId="2" r:id="rId2"/>
  </sheets>
  <definedNames>
    <definedName name="DataTapeFirstCell">DATA!$A$2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 l="1"/>
  <c r="E23" i="2"/>
  <c r="B25" i="2"/>
  <c r="D24" i="2" a="1"/>
  <c r="D24" i="2" s="1"/>
  <c r="D25" i="2" a="1"/>
  <c r="D25" i="2" s="1"/>
  <c r="D26" i="2" a="1"/>
  <c r="D26" i="2" s="1"/>
  <c r="D23" i="2" a="1"/>
  <c r="D23" i="2" s="1"/>
  <c r="B26" i="2"/>
  <c r="B24" i="2"/>
  <c r="B23" i="2"/>
  <c r="B8" i="2"/>
  <c r="B7" i="2"/>
  <c r="Z101" i="1"/>
  <c r="Y101" i="1"/>
  <c r="X101" i="1"/>
  <c r="W101" i="1"/>
  <c r="V101" i="1"/>
  <c r="Z100" i="1"/>
  <c r="Y100" i="1"/>
  <c r="X100" i="1"/>
  <c r="W100" i="1"/>
  <c r="V100" i="1"/>
  <c r="Z99" i="1"/>
  <c r="Y99" i="1"/>
  <c r="X99" i="1"/>
  <c r="W99" i="1"/>
  <c r="V99" i="1"/>
  <c r="Z98" i="1"/>
  <c r="Y98" i="1"/>
  <c r="X98" i="1"/>
  <c r="W98" i="1"/>
  <c r="V98" i="1"/>
  <c r="Z97" i="1"/>
  <c r="Y97" i="1"/>
  <c r="X97" i="1"/>
  <c r="W97" i="1"/>
  <c r="V97" i="1"/>
  <c r="Z96" i="1"/>
  <c r="Y96" i="1"/>
  <c r="X96" i="1"/>
  <c r="W96" i="1"/>
  <c r="V96" i="1"/>
  <c r="Z95" i="1"/>
  <c r="Y95" i="1"/>
  <c r="X95" i="1"/>
  <c r="W95" i="1"/>
  <c r="V95" i="1"/>
  <c r="Z94" i="1"/>
  <c r="Y94" i="1"/>
  <c r="X94" i="1"/>
  <c r="W94" i="1"/>
  <c r="V94" i="1"/>
  <c r="Z93" i="1"/>
  <c r="Y93" i="1"/>
  <c r="X93" i="1"/>
  <c r="W93" i="1"/>
  <c r="V93" i="1"/>
  <c r="Z92" i="1"/>
  <c r="Y92" i="1"/>
  <c r="X92" i="1"/>
  <c r="W92" i="1"/>
  <c r="V92" i="1"/>
  <c r="Z91" i="1"/>
  <c r="Y91" i="1"/>
  <c r="X91" i="1"/>
  <c r="W91" i="1"/>
  <c r="V91" i="1"/>
  <c r="Z90" i="1"/>
  <c r="Y90" i="1"/>
  <c r="X90" i="1"/>
  <c r="W90" i="1"/>
  <c r="V90" i="1"/>
  <c r="Z89" i="1"/>
  <c r="Y89" i="1"/>
  <c r="X89" i="1"/>
  <c r="W89" i="1"/>
  <c r="V89" i="1"/>
  <c r="Z88" i="1"/>
  <c r="Y88" i="1"/>
  <c r="X88" i="1"/>
  <c r="W88" i="1"/>
  <c r="V88" i="1"/>
  <c r="Z87" i="1"/>
  <c r="Y87" i="1"/>
  <c r="X87" i="1"/>
  <c r="W87" i="1"/>
  <c r="V87" i="1"/>
  <c r="Z86" i="1"/>
  <c r="Y86" i="1"/>
  <c r="X86" i="1"/>
  <c r="W86" i="1"/>
  <c r="V86" i="1"/>
  <c r="Z85" i="1"/>
  <c r="Y85" i="1"/>
  <c r="X85" i="1"/>
  <c r="W85" i="1"/>
  <c r="V85" i="1"/>
  <c r="Z84" i="1"/>
  <c r="Y84" i="1"/>
  <c r="X84" i="1"/>
  <c r="W84" i="1"/>
  <c r="V84" i="1"/>
  <c r="Z83" i="1"/>
  <c r="Y83" i="1"/>
  <c r="X83" i="1"/>
  <c r="W83" i="1"/>
  <c r="V83" i="1"/>
  <c r="Z82" i="1"/>
  <c r="Y82" i="1"/>
  <c r="X82" i="1"/>
  <c r="W82" i="1"/>
  <c r="V82" i="1"/>
  <c r="Z81" i="1"/>
  <c r="Y81" i="1"/>
  <c r="X81" i="1"/>
  <c r="W81" i="1"/>
  <c r="V81" i="1"/>
  <c r="Z80" i="1"/>
  <c r="Y80" i="1"/>
  <c r="X80" i="1"/>
  <c r="W80" i="1"/>
  <c r="V80" i="1"/>
  <c r="Z79" i="1"/>
  <c r="Y79" i="1"/>
  <c r="X79" i="1"/>
  <c r="W79" i="1"/>
  <c r="V79" i="1"/>
  <c r="Z78" i="1"/>
  <c r="Y78" i="1"/>
  <c r="X78" i="1"/>
  <c r="W78" i="1"/>
  <c r="V78" i="1"/>
  <c r="Z77" i="1"/>
  <c r="Y77" i="1"/>
  <c r="X77" i="1"/>
  <c r="W77" i="1"/>
  <c r="V77" i="1"/>
  <c r="Z76" i="1"/>
  <c r="Y76" i="1"/>
  <c r="X76" i="1"/>
  <c r="W76" i="1"/>
  <c r="V76" i="1"/>
  <c r="Z75" i="1"/>
  <c r="Y75" i="1"/>
  <c r="X75" i="1"/>
  <c r="W75" i="1"/>
  <c r="V75" i="1"/>
  <c r="Z74" i="1"/>
  <c r="Y74" i="1"/>
  <c r="X74" i="1"/>
  <c r="W74" i="1"/>
  <c r="V74" i="1"/>
  <c r="Z73" i="1"/>
  <c r="Y73" i="1"/>
  <c r="X73" i="1"/>
  <c r="W73" i="1"/>
  <c r="V73" i="1"/>
  <c r="Z72" i="1"/>
  <c r="Y72" i="1"/>
  <c r="X72" i="1"/>
  <c r="W72" i="1"/>
  <c r="V72" i="1"/>
  <c r="Z71" i="1"/>
  <c r="Y71" i="1"/>
  <c r="X71" i="1"/>
  <c r="W71" i="1"/>
  <c r="V71" i="1"/>
  <c r="Z70" i="1"/>
  <c r="Y70" i="1"/>
  <c r="X70" i="1"/>
  <c r="W70" i="1"/>
  <c r="V70" i="1"/>
  <c r="Z69" i="1"/>
  <c r="Y69" i="1"/>
  <c r="X69" i="1"/>
  <c r="W69" i="1"/>
  <c r="V69" i="1"/>
  <c r="Z68" i="1"/>
  <c r="Y68" i="1"/>
  <c r="X68" i="1"/>
  <c r="W68" i="1"/>
  <c r="V68" i="1"/>
  <c r="Z67" i="1"/>
  <c r="Y67" i="1"/>
  <c r="X67" i="1"/>
  <c r="W67" i="1"/>
  <c r="V67" i="1"/>
  <c r="Z66" i="1"/>
  <c r="Y66" i="1"/>
  <c r="X66" i="1"/>
  <c r="W66" i="1"/>
  <c r="V66" i="1"/>
  <c r="Z65" i="1"/>
  <c r="Y65" i="1"/>
  <c r="X65" i="1"/>
  <c r="W65" i="1"/>
  <c r="V65" i="1"/>
  <c r="Z64" i="1"/>
  <c r="Y64" i="1"/>
  <c r="X64" i="1"/>
  <c r="W64" i="1"/>
  <c r="V64" i="1"/>
  <c r="Z63" i="1"/>
  <c r="Y63" i="1"/>
  <c r="X63" i="1"/>
  <c r="W63" i="1"/>
  <c r="V63" i="1"/>
  <c r="Z62" i="1"/>
  <c r="Y62" i="1"/>
  <c r="X62" i="1"/>
  <c r="W62" i="1"/>
  <c r="V62" i="1"/>
  <c r="Z61" i="1"/>
  <c r="Y61" i="1"/>
  <c r="X61" i="1"/>
  <c r="W61" i="1"/>
  <c r="V61" i="1"/>
  <c r="Z60" i="1"/>
  <c r="Y60" i="1"/>
  <c r="X60" i="1"/>
  <c r="W60" i="1"/>
  <c r="V60" i="1"/>
  <c r="Z59" i="1"/>
  <c r="Y59" i="1"/>
  <c r="X59" i="1"/>
  <c r="W59" i="1"/>
  <c r="V59" i="1"/>
  <c r="Z58" i="1"/>
  <c r="Y58" i="1"/>
  <c r="X58" i="1"/>
  <c r="W58" i="1"/>
  <c r="V58" i="1"/>
  <c r="Z57" i="1"/>
  <c r="Y57" i="1"/>
  <c r="X57" i="1"/>
  <c r="W57" i="1"/>
  <c r="V57" i="1"/>
  <c r="Z56" i="1"/>
  <c r="Y56" i="1"/>
  <c r="X56" i="1"/>
  <c r="W56" i="1"/>
  <c r="V56" i="1"/>
  <c r="Z55" i="1"/>
  <c r="Y55" i="1"/>
  <c r="X55" i="1"/>
  <c r="W55" i="1"/>
  <c r="V55" i="1"/>
  <c r="Z54" i="1"/>
  <c r="Y54" i="1"/>
  <c r="X54" i="1"/>
  <c r="W54" i="1"/>
  <c r="V54" i="1"/>
  <c r="Z53" i="1"/>
  <c r="Y53" i="1"/>
  <c r="X53" i="1"/>
  <c r="W53" i="1"/>
  <c r="V53" i="1"/>
  <c r="Z52" i="1"/>
  <c r="Y52" i="1"/>
  <c r="X52" i="1"/>
  <c r="W52" i="1"/>
  <c r="V52" i="1"/>
  <c r="Z51" i="1"/>
  <c r="Y51" i="1"/>
  <c r="X51" i="1"/>
  <c r="W51" i="1"/>
  <c r="V51" i="1"/>
  <c r="Z50" i="1"/>
  <c r="Y50" i="1"/>
  <c r="X50" i="1"/>
  <c r="W50" i="1"/>
  <c r="V50" i="1"/>
  <c r="Z49" i="1"/>
  <c r="Y49" i="1"/>
  <c r="X49" i="1"/>
  <c r="W49" i="1"/>
  <c r="V49" i="1"/>
  <c r="Z48" i="1"/>
  <c r="Y48" i="1"/>
  <c r="X48" i="1"/>
  <c r="W48" i="1"/>
  <c r="V48" i="1"/>
  <c r="Z47" i="1"/>
  <c r="Y47" i="1"/>
  <c r="X47" i="1"/>
  <c r="W47" i="1"/>
  <c r="V47" i="1"/>
  <c r="Z46" i="1"/>
  <c r="Y46" i="1"/>
  <c r="X46" i="1"/>
  <c r="W46" i="1"/>
  <c r="V46" i="1"/>
  <c r="Z45" i="1"/>
  <c r="Y45" i="1"/>
  <c r="X45" i="1"/>
  <c r="W45" i="1"/>
  <c r="V45" i="1"/>
  <c r="Z44" i="1"/>
  <c r="Y44" i="1"/>
  <c r="X44" i="1"/>
  <c r="W44" i="1"/>
  <c r="V44" i="1"/>
  <c r="Z43" i="1"/>
  <c r="Y43" i="1"/>
  <c r="X43" i="1"/>
  <c r="W43" i="1"/>
  <c r="V43" i="1"/>
  <c r="Z42" i="1"/>
  <c r="Y42" i="1"/>
  <c r="X42" i="1"/>
  <c r="W42" i="1"/>
  <c r="V42" i="1"/>
  <c r="Z41" i="1"/>
  <c r="Y41" i="1"/>
  <c r="X41" i="1"/>
  <c r="W41" i="1"/>
  <c r="V41" i="1"/>
  <c r="Z40" i="1"/>
  <c r="Y40" i="1"/>
  <c r="X40" i="1"/>
  <c r="W40" i="1"/>
  <c r="V40" i="1"/>
  <c r="Z39" i="1"/>
  <c r="Y39" i="1"/>
  <c r="X39" i="1"/>
  <c r="W39" i="1"/>
  <c r="V39" i="1"/>
  <c r="Z38" i="1"/>
  <c r="Y38" i="1"/>
  <c r="X38" i="1"/>
  <c r="W38" i="1"/>
  <c r="V38" i="1"/>
  <c r="Z37" i="1"/>
  <c r="Y37" i="1"/>
  <c r="X37" i="1"/>
  <c r="W37" i="1"/>
  <c r="V37" i="1"/>
  <c r="Z36" i="1"/>
  <c r="Y36" i="1"/>
  <c r="X36" i="1"/>
  <c r="W36" i="1"/>
  <c r="V36" i="1"/>
  <c r="Z35" i="1"/>
  <c r="Y35" i="1"/>
  <c r="X35" i="1"/>
  <c r="W35" i="1"/>
  <c r="V35" i="1"/>
  <c r="Z34" i="1"/>
  <c r="Y34" i="1"/>
  <c r="X34" i="1"/>
  <c r="W34" i="1"/>
  <c r="V34" i="1"/>
  <c r="Z33" i="1"/>
  <c r="Y33" i="1"/>
  <c r="X33" i="1"/>
  <c r="W33" i="1"/>
  <c r="V33" i="1"/>
  <c r="Z32" i="1"/>
  <c r="Y32" i="1"/>
  <c r="X32" i="1"/>
  <c r="W32" i="1"/>
  <c r="V32" i="1"/>
  <c r="Z31" i="1"/>
  <c r="Y31" i="1"/>
  <c r="X31" i="1"/>
  <c r="W31" i="1"/>
  <c r="V31" i="1"/>
  <c r="Z30" i="1"/>
  <c r="Y30" i="1"/>
  <c r="X30" i="1"/>
  <c r="W30" i="1"/>
  <c r="V30" i="1"/>
  <c r="Z29" i="1"/>
  <c r="Y29" i="1"/>
  <c r="X29" i="1"/>
  <c r="W29" i="1"/>
  <c r="V29" i="1"/>
  <c r="Z28" i="1"/>
  <c r="Y28" i="1"/>
  <c r="X28" i="1"/>
  <c r="W28" i="1"/>
  <c r="V28" i="1"/>
  <c r="Z27" i="1"/>
  <c r="Y27" i="1"/>
  <c r="X27" i="1"/>
  <c r="W27" i="1"/>
  <c r="V27" i="1"/>
  <c r="Z26" i="1"/>
  <c r="Y26" i="1"/>
  <c r="X26" i="1"/>
  <c r="W26" i="1"/>
  <c r="V26" i="1"/>
  <c r="Z25" i="1"/>
  <c r="Y25" i="1"/>
  <c r="X25" i="1"/>
  <c r="W25" i="1"/>
  <c r="V25" i="1"/>
  <c r="Z24" i="1"/>
  <c r="Y24" i="1"/>
  <c r="X24" i="1"/>
  <c r="W24" i="1"/>
  <c r="V24" i="1"/>
  <c r="Z23" i="1"/>
  <c r="Y23" i="1"/>
  <c r="X23" i="1"/>
  <c r="W23" i="1"/>
  <c r="V23" i="1"/>
  <c r="Z22" i="1"/>
  <c r="Y22" i="1"/>
  <c r="X22" i="1"/>
  <c r="W22" i="1"/>
  <c r="V22" i="1"/>
  <c r="Z21" i="1"/>
  <c r="Y21" i="1"/>
  <c r="X21" i="1"/>
  <c r="W21" i="1"/>
  <c r="V21" i="1"/>
  <c r="Z20" i="1"/>
  <c r="Y20" i="1"/>
  <c r="X20" i="1"/>
  <c r="W20" i="1"/>
  <c r="V20" i="1"/>
  <c r="Z19" i="1"/>
  <c r="Y19" i="1"/>
  <c r="X19" i="1"/>
  <c r="W19" i="1"/>
  <c r="V19" i="1"/>
  <c r="Z18" i="1"/>
  <c r="Y18" i="1"/>
  <c r="X18" i="1"/>
  <c r="W18" i="1"/>
  <c r="V18" i="1"/>
  <c r="Z17" i="1"/>
  <c r="Y17" i="1"/>
  <c r="X17" i="1"/>
  <c r="W17" i="1"/>
  <c r="V17" i="1"/>
  <c r="Z16" i="1"/>
  <c r="Y16" i="1"/>
  <c r="X16" i="1"/>
  <c r="W16" i="1"/>
  <c r="V16" i="1"/>
  <c r="Z15" i="1"/>
  <c r="Y15" i="1"/>
  <c r="X15" i="1"/>
  <c r="W15" i="1"/>
  <c r="V15" i="1"/>
  <c r="Z14" i="1"/>
  <c r="Y14" i="1"/>
  <c r="X14" i="1"/>
  <c r="W14" i="1"/>
  <c r="V14" i="1"/>
  <c r="Z13" i="1"/>
  <c r="Y13" i="1"/>
  <c r="X13" i="1"/>
  <c r="W13" i="1"/>
  <c r="V13" i="1"/>
  <c r="Z12" i="1"/>
  <c r="Y12" i="1"/>
  <c r="X12" i="1"/>
  <c r="W12" i="1"/>
  <c r="V12" i="1"/>
  <c r="Z11" i="1"/>
  <c r="Y11" i="1"/>
  <c r="X11" i="1"/>
  <c r="W11" i="1"/>
  <c r="V11" i="1"/>
  <c r="Z10" i="1"/>
  <c r="Y10" i="1"/>
  <c r="X10" i="1"/>
  <c r="W10" i="1"/>
  <c r="V10" i="1"/>
  <c r="Z9" i="1"/>
  <c r="Y9" i="1"/>
  <c r="X9" i="1"/>
  <c r="W9" i="1"/>
  <c r="V9" i="1"/>
  <c r="Z8" i="1"/>
  <c r="Y8" i="1"/>
  <c r="X8" i="1"/>
  <c r="W8" i="1"/>
  <c r="V8" i="1"/>
  <c r="Z7" i="1"/>
  <c r="Y7" i="1"/>
  <c r="X7" i="1"/>
  <c r="W7" i="1"/>
  <c r="V7" i="1"/>
  <c r="Z6" i="1"/>
  <c r="Y6" i="1"/>
  <c r="X6" i="1"/>
  <c r="W6" i="1"/>
  <c r="V6" i="1"/>
  <c r="Z5" i="1"/>
  <c r="Y5" i="1"/>
  <c r="X5" i="1"/>
  <c r="W5" i="1"/>
  <c r="V5" i="1"/>
  <c r="Z4" i="1"/>
  <c r="Y4" i="1"/>
  <c r="X4" i="1"/>
  <c r="W4" i="1"/>
  <c r="V4" i="1"/>
  <c r="Z3" i="1"/>
  <c r="Y3" i="1"/>
  <c r="X3" i="1"/>
  <c r="W3" i="1"/>
  <c r="V3" i="1"/>
  <c r="Z2" i="1"/>
  <c r="Y2" i="1"/>
  <c r="X2" i="1"/>
  <c r="W2" i="1"/>
  <c r="V2" i="1"/>
  <c r="B13" i="2" l="1"/>
  <c r="B11" i="2"/>
  <c r="B12" i="2"/>
  <c r="B14" i="2"/>
  <c r="B15" i="2"/>
  <c r="E25" i="2"/>
  <c r="E2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<sst xmlns="http://schemas.openxmlformats.org/spreadsheetml/2006/main" count="652" uniqueCount="286">
  <si>
    <t>Loan ID</t>
  </si>
  <si>
    <t xml:space="preserve">Product Type </t>
  </si>
  <si>
    <t>Lien Position</t>
  </si>
  <si>
    <t>Address</t>
  </si>
  <si>
    <t>City</t>
  </si>
  <si>
    <t>State</t>
  </si>
  <si>
    <t>Zip Code</t>
  </si>
  <si>
    <t>Number of Properties</t>
  </si>
  <si>
    <t>Number of Units</t>
  </si>
  <si>
    <t>UPB</t>
  </si>
  <si>
    <t>Appraisal Date</t>
  </si>
  <si>
    <t>Appraisal Amount</t>
  </si>
  <si>
    <t>Property Acquisition Date</t>
  </si>
  <si>
    <t>Property Acquisition Price</t>
  </si>
  <si>
    <t>LTAIV</t>
  </si>
  <si>
    <t>LTC</t>
  </si>
  <si>
    <t>Term (Months)</t>
  </si>
  <si>
    <t>Origination Date</t>
  </si>
  <si>
    <t>First Payment Date</t>
  </si>
  <si>
    <t>Current Maturity Date</t>
  </si>
  <si>
    <t>Next Payment Due Date</t>
  </si>
  <si>
    <t>Elig_FirstLien</t>
  </si>
  <si>
    <t>Current</t>
  </si>
  <si>
    <t>Elig_UPB</t>
  </si>
  <si>
    <t>Elig_OriginationDate</t>
  </si>
  <si>
    <t>Elig_AppraisalDate</t>
  </si>
  <si>
    <t>Loan's Eligibility</t>
  </si>
  <si>
    <t>RTL</t>
  </si>
  <si>
    <t>First</t>
  </si>
  <si>
    <t>123 Maple St</t>
  </si>
  <si>
    <t>Springfield</t>
  </si>
  <si>
    <t>IL</t>
  </si>
  <si>
    <t>Y</t>
  </si>
  <si>
    <t>456 Oak Ave</t>
  </si>
  <si>
    <t>Madison</t>
  </si>
  <si>
    <t>WI</t>
  </si>
  <si>
    <t>N</t>
  </si>
  <si>
    <t>789 Pine Rd</t>
  </si>
  <si>
    <t>Boulder</t>
  </si>
  <si>
    <t>CO</t>
  </si>
  <si>
    <t>101 Cedar Ln</t>
  </si>
  <si>
    <t>Austin</t>
  </si>
  <si>
    <t>TX</t>
  </si>
  <si>
    <t>202 Birch Blvd</t>
  </si>
  <si>
    <t>Salem</t>
  </si>
  <si>
    <t>OR</t>
  </si>
  <si>
    <t>303 Walnut St</t>
  </si>
  <si>
    <t>Columbus</t>
  </si>
  <si>
    <t>OH</t>
  </si>
  <si>
    <t>404 Cherry Ave</t>
  </si>
  <si>
    <t>Ann Arbor</t>
  </si>
  <si>
    <t>MI</t>
  </si>
  <si>
    <t>505 Elm St</t>
  </si>
  <si>
    <t>Raleigh</t>
  </si>
  <si>
    <t>NC</t>
  </si>
  <si>
    <t>606 Willow Dr</t>
  </si>
  <si>
    <t>Provo</t>
  </si>
  <si>
    <t>UT</t>
  </si>
  <si>
    <t>707 Aspen Ct</t>
  </si>
  <si>
    <t>Flagstaff</t>
  </si>
  <si>
    <t>AZ</t>
  </si>
  <si>
    <t>808 Sycamore Rd</t>
  </si>
  <si>
    <t>Athens</t>
  </si>
  <si>
    <t>GA</t>
  </si>
  <si>
    <t>909 Poplar St</t>
  </si>
  <si>
    <t>Lexington</t>
  </si>
  <si>
    <t>KY</t>
  </si>
  <si>
    <t>111 Redwood Ave</t>
  </si>
  <si>
    <t>Eureka</t>
  </si>
  <si>
    <t>CA</t>
  </si>
  <si>
    <t>222 Magnolia Blvd</t>
  </si>
  <si>
    <t>Mobile</t>
  </si>
  <si>
    <t>AL</t>
  </si>
  <si>
    <t>333 Juniper Ln</t>
  </si>
  <si>
    <t>Bend</t>
  </si>
  <si>
    <t>444 Cypress St</t>
  </si>
  <si>
    <t>Baton Rouge</t>
  </si>
  <si>
    <t>LA</t>
  </si>
  <si>
    <t>555 Palm Ave</t>
  </si>
  <si>
    <t>Sarasota</t>
  </si>
  <si>
    <t>FL</t>
  </si>
  <si>
    <t>666 Hickory Rd</t>
  </si>
  <si>
    <t>Bloomington</t>
  </si>
  <si>
    <t>IN</t>
  </si>
  <si>
    <t>777 Dogwood Ct</t>
  </si>
  <si>
    <t>Chapel Hill</t>
  </si>
  <si>
    <t>888 Spruce St</t>
  </si>
  <si>
    <t>Missoula</t>
  </si>
  <si>
    <t>MT</t>
  </si>
  <si>
    <t>999 Alder Ave</t>
  </si>
  <si>
    <t>Bellingham</t>
  </si>
  <si>
    <t>WA</t>
  </si>
  <si>
    <t>121 Ash St</t>
  </si>
  <si>
    <t>Dover</t>
  </si>
  <si>
    <t>DE</t>
  </si>
  <si>
    <t>131 Fir Ln</t>
  </si>
  <si>
    <t>Coeur dAlene</t>
  </si>
  <si>
    <t>ID</t>
  </si>
  <si>
    <t>141 Chestnut Rd</t>
  </si>
  <si>
    <t>Lancaster</t>
  </si>
  <si>
    <t>PA</t>
  </si>
  <si>
    <t>151 Beech St</t>
  </si>
  <si>
    <t>Concord</t>
  </si>
  <si>
    <t>NH</t>
  </si>
  <si>
    <t>161 Cottonwood Ave</t>
  </si>
  <si>
    <t>Pueblo</t>
  </si>
  <si>
    <t>171 Larch Ln</t>
  </si>
  <si>
    <t>Helena</t>
  </si>
  <si>
    <t>181 Olive St</t>
  </si>
  <si>
    <t>Fresno</t>
  </si>
  <si>
    <t>191 Peach Ave</t>
  </si>
  <si>
    <t>Macon</t>
  </si>
  <si>
    <t>212 Plum Rd</t>
  </si>
  <si>
    <t>Newton</t>
  </si>
  <si>
    <t>MA</t>
  </si>
  <si>
    <t>223 Apple St</t>
  </si>
  <si>
    <t>Ithaca</t>
  </si>
  <si>
    <t>NY</t>
  </si>
  <si>
    <t>234 Lemon Ave</t>
  </si>
  <si>
    <t>Riverside</t>
  </si>
  <si>
    <t>245 Orange Blvd</t>
  </si>
  <si>
    <t>Anaheim</t>
  </si>
  <si>
    <t>256 Lime St</t>
  </si>
  <si>
    <t>Key West</t>
  </si>
  <si>
    <t>267 Pear Ct</t>
  </si>
  <si>
    <t>Napa</t>
  </si>
  <si>
    <t>278 Grape Rd</t>
  </si>
  <si>
    <t>Sonoma</t>
  </si>
  <si>
    <t>289 Fig St</t>
  </si>
  <si>
    <t>Santa Fe</t>
  </si>
  <si>
    <t>NM</t>
  </si>
  <si>
    <t>300 Date Ave</t>
  </si>
  <si>
    <t>Yuma</t>
  </si>
  <si>
    <t>311 Kiwi Blvd</t>
  </si>
  <si>
    <t>Hilo</t>
  </si>
  <si>
    <t>HI</t>
  </si>
  <si>
    <t>322 Mango St</t>
  </si>
  <si>
    <t>Coral Gables</t>
  </si>
  <si>
    <t>333 Papaya Rd</t>
  </si>
  <si>
    <t>Kahului</t>
  </si>
  <si>
    <t>344 Guava Ln</t>
  </si>
  <si>
    <t>San Juan</t>
  </si>
  <si>
    <t>PR</t>
  </si>
  <si>
    <t>355 Coconut Ave</t>
  </si>
  <si>
    <t>Fort Myers</t>
  </si>
  <si>
    <t>366 Avocado St</t>
  </si>
  <si>
    <t>Escondido</t>
  </si>
  <si>
    <t>377 Blueberry Rd</t>
  </si>
  <si>
    <t>Bangor</t>
  </si>
  <si>
    <t>ME</t>
  </si>
  <si>
    <t>388 Raspberry Ct</t>
  </si>
  <si>
    <t>Bozeman</t>
  </si>
  <si>
    <t>399 Strawberry Ave</t>
  </si>
  <si>
    <t>Watsonville</t>
  </si>
  <si>
    <t>411 Blackberry St</t>
  </si>
  <si>
    <t>Ashland</t>
  </si>
  <si>
    <t>422 Cranberry Rd</t>
  </si>
  <si>
    <t>Plymouth</t>
  </si>
  <si>
    <t>433 Pomegranate Ln</t>
  </si>
  <si>
    <t>Davis</t>
  </si>
  <si>
    <t>444 Persimmon Ave</t>
  </si>
  <si>
    <t>Chico</t>
  </si>
  <si>
    <t>455 Mulberry St</t>
  </si>
  <si>
    <t>Newark</t>
  </si>
  <si>
    <t>NJ</t>
  </si>
  <si>
    <t>466 Gooseberry Rd</t>
  </si>
  <si>
    <t>Duluth</t>
  </si>
  <si>
    <t>MN</t>
  </si>
  <si>
    <t>477 Boysenberry Ct</t>
  </si>
  <si>
    <t>Eugene</t>
  </si>
  <si>
    <t>488 Lingonberry Ave</t>
  </si>
  <si>
    <t>Fargo</t>
  </si>
  <si>
    <t>ND</t>
  </si>
  <si>
    <t>499 Huckleberry St</t>
  </si>
  <si>
    <t>Whitefish</t>
  </si>
  <si>
    <t>511 Tamarind Rd</t>
  </si>
  <si>
    <t>Berkeley</t>
  </si>
  <si>
    <t>522 Jackfruit Ave</t>
  </si>
  <si>
    <t>Fremont</t>
  </si>
  <si>
    <t>533 Starfruit Ln</t>
  </si>
  <si>
    <t>Redlands</t>
  </si>
  <si>
    <t>544 Longan St</t>
  </si>
  <si>
    <t>Arcadia</t>
  </si>
  <si>
    <t>555 Lychee Rd</t>
  </si>
  <si>
    <t>San Mateo</t>
  </si>
  <si>
    <t>566 Durian Ave</t>
  </si>
  <si>
    <t>Cupertino</t>
  </si>
  <si>
    <t>577 Rambutan Ln</t>
  </si>
  <si>
    <t>Palo Alto</t>
  </si>
  <si>
    <t>588 Soursop St</t>
  </si>
  <si>
    <t>Mountain View</t>
  </si>
  <si>
    <t>599 Passionfruit Rd</t>
  </si>
  <si>
    <t>Sunnyvale</t>
  </si>
  <si>
    <t>611 Quince Ave</t>
  </si>
  <si>
    <t>Petaluma</t>
  </si>
  <si>
    <t>622 Medlar St</t>
  </si>
  <si>
    <t>Ukiah</t>
  </si>
  <si>
    <t>633 Loquat Rd</t>
  </si>
  <si>
    <t>Monterey</t>
  </si>
  <si>
    <t>644 Currant Ave</t>
  </si>
  <si>
    <t>Santa Cruz</t>
  </si>
  <si>
    <t>655 Elderberry St</t>
  </si>
  <si>
    <t>Sebastopol</t>
  </si>
  <si>
    <t>666 Mulberry Ct</t>
  </si>
  <si>
    <t>Vacaville</t>
  </si>
  <si>
    <t>677 Olivewood Rd</t>
  </si>
  <si>
    <t>Santa Barbara</t>
  </si>
  <si>
    <t>688 Bayleaf Ave</t>
  </si>
  <si>
    <t>San Luis Obispo</t>
  </si>
  <si>
    <t>699 Rosemary St</t>
  </si>
  <si>
    <t>Carmel</t>
  </si>
  <si>
    <t>711 Thyme Ln</t>
  </si>
  <si>
    <t>Healdsburg</t>
  </si>
  <si>
    <t>722 Sage Rd</t>
  </si>
  <si>
    <t>733 Basil Ave</t>
  </si>
  <si>
    <t>744 Oregano St</t>
  </si>
  <si>
    <t>Vallejo</t>
  </si>
  <si>
    <t>755 Parsley Rd</t>
  </si>
  <si>
    <t>Fairfield</t>
  </si>
  <si>
    <t>766 Cilantro Ave</t>
  </si>
  <si>
    <t>Livermore</t>
  </si>
  <si>
    <t>Second</t>
  </si>
  <si>
    <t>777 Chive Ct</t>
  </si>
  <si>
    <t>Pleasanton</t>
  </si>
  <si>
    <t>788 Dill St</t>
  </si>
  <si>
    <t>Danville</t>
  </si>
  <si>
    <t>799 Fennel Rd</t>
  </si>
  <si>
    <t>Walnut Creek</t>
  </si>
  <si>
    <t>811 Anise Ave</t>
  </si>
  <si>
    <t>Lafayette</t>
  </si>
  <si>
    <t>822 Cardamom St</t>
  </si>
  <si>
    <t>Orinda</t>
  </si>
  <si>
    <t>833 Clove Rd</t>
  </si>
  <si>
    <t>Moraga</t>
  </si>
  <si>
    <t>844 Nutmeg Ave</t>
  </si>
  <si>
    <t>San Ramon</t>
  </si>
  <si>
    <t>855 Paprika St</t>
  </si>
  <si>
    <t>Dublin</t>
  </si>
  <si>
    <t>866 Turmeric Rd</t>
  </si>
  <si>
    <t>Emeryville</t>
  </si>
  <si>
    <t>877 Saffron Ave</t>
  </si>
  <si>
    <t>Albany</t>
  </si>
  <si>
    <t>888 Ginger St</t>
  </si>
  <si>
    <t>El Cerrito</t>
  </si>
  <si>
    <t>899 Vanilla Rd</t>
  </si>
  <si>
    <t>Richmond</t>
  </si>
  <si>
    <t>900 Cinnamon Ave</t>
  </si>
  <si>
    <t>Oakland</t>
  </si>
  <si>
    <t>4031 Ivins Avenue</t>
  </si>
  <si>
    <t>Egg Harbor Township</t>
  </si>
  <si>
    <t>New Jersey</t>
  </si>
  <si>
    <t>4404 Jinx Avenue</t>
  </si>
  <si>
    <t>Texas</t>
  </si>
  <si>
    <t>5921 Coventry Lane</t>
  </si>
  <si>
    <t>5917 Coventry Lane</t>
  </si>
  <si>
    <t>8638 Angora Street</t>
  </si>
  <si>
    <t>Dallas</t>
  </si>
  <si>
    <t>30 Stonefly Lane</t>
  </si>
  <si>
    <t>Cle Elum</t>
  </si>
  <si>
    <t>Washington</t>
  </si>
  <si>
    <t>977 Cactus Way</t>
  </si>
  <si>
    <t>Albuquerque</t>
  </si>
  <si>
    <t>Eligibility &amp; Concentration Analysis Summary</t>
  </si>
  <si>
    <t>Part 1: Eligibility</t>
  </si>
  <si>
    <t>Eligibility</t>
  </si>
  <si>
    <t>Eligible Loan Count</t>
  </si>
  <si>
    <t>Total Eligible UPB</t>
  </si>
  <si>
    <t>Drivers of Ineligibility</t>
  </si>
  <si>
    <t>Ineligible Loan Count</t>
  </si>
  <si>
    <t>Not first lien</t>
  </si>
  <si>
    <t>Payment delinquent</t>
  </si>
  <si>
    <t>UPB &gt; $800k</t>
  </si>
  <si>
    <t>Origination date too old</t>
  </si>
  <si>
    <t>Appraisal date too old</t>
  </si>
  <si>
    <t>Part 2: Concerntration Analysis</t>
  </si>
  <si>
    <t>Category</t>
  </si>
  <si>
    <t>Exposure UPB</t>
  </si>
  <si>
    <t>Limit %</t>
  </si>
  <si>
    <t>Applicable limits</t>
  </si>
  <si>
    <t>Status</t>
  </si>
  <si>
    <t>California</t>
  </si>
  <si>
    <t>Units &gt; 10</t>
  </si>
  <si>
    <t>Facility Size</t>
  </si>
  <si>
    <t>LTAIV &gt; 75%</t>
  </si>
  <si>
    <t xml:space="preserve">        After identifying the eligible loans, I evaluated whether the loan pool was overly concentrated in certain risk areas. This involved checking how much of the $200 million facility was exposed to loans in a single state, loans with larger balances, loans secured by larger properties, and loans with higher leverage. For each category, I summed the loan balances and compared them to the concentration limits provided in the case study. This analysis helped determine where the portfolio was within limits and where exposure was more concentrated. All calculations assume a January 1, 2026 funding date, and no exceptions were applied beyond what was stated in the instructions.</t>
  </si>
  <si>
    <t xml:space="preserve">        Before starting the analysis, I first ran the conditional farmatting on the Loan ID and Address columns to check if there was any duplicate values in this dataset. After confirming data integrity, I reviewed the individual loan records to determine which loans could be included in a $200 million loan pool. Each row in the spreadsheet represents one loan. I followed the rules given in the case study to check whether each loan qualifies. These rules include first lien status, payment currentness, UPB below the $800,000 cap, and recent origination/appraisal dates relative to the January 1, 2026 funding date.A loan was marked as eligible only if it met all of the required conditions. Most loans were found to be ineligible, mainly because the appraisal or origination dates were too 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</si>
</sst>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yyyy/m/d"/>
  </numFmts>
  <fonts count="15">
    <font>
      <sz val="11"/>
      <color theme="1"/>
      <name val="Aptos Narrow"/>
      <scheme val="minor"/>
    </font>
    <font>
      <sz val="11"/>
      <color theme="1"/>
      <name val="Aptos Narrow"/>
      <family val="2"/>
      <scheme val="minor"/>
    </font>
    <font>
      <sz val="10"/>
      <color theme="0"/>
      <name val="Avenir"/>
    </font>
    <font>
      <sz val="11"/>
      <color theme="1"/>
      <name val="Aptos Narrow"/>
      <family val="2"/>
    </font>
    <font>
      <b/>
      <sz val="11"/>
      <color theme="1"/>
      <name val="Aptos Narrow"/>
      <family val="2"/>
    </font>
    <font>
      <b/>
      <sz val="11"/>
      <color theme="1"/>
      <name val="Aptos Narrow"/>
      <family val="2"/>
      <scheme val="minor"/>
    </font>
    <font>
      <sz val="12"/>
      <color theme="1"/>
      <name val="Gg Sans"/>
    </font>
    <font>
      <b/>
      <sz val="11"/>
      <color theme="0"/>
      <name val="Aptos Narrow"/>
      <family val="2"/>
      <scheme val="minor"/>
    </font>
    <font>
      <b/>
      <sz val="16"/>
      <color theme="1"/>
      <name val="Aptos Narrow"/>
      <family val="2"/>
      <scheme val="major"/>
    </font>
    <font>
      <b/>
      <sz val="14"/>
      <color theme="1"/>
      <name val="Aptos Narrow"/>
      <family val="2"/>
      <scheme val="major"/>
    </font>
    <font>
      <b/>
      <sz val="11"/>
      <color rgb="FFFFFFFF"/>
      <name val="Aptos Narrow"/>
      <family val="2"/>
      <scheme val="minor"/>
    </font>
    <font>
      <sz val="12"/>
      <color theme="1"/>
      <name val="Aptos Narrow"/>
      <family val="2"/>
      <scheme val="minor"/>
    </font>
    <font>
      <b/>
      <sz val="10"/>
      <color theme="0"/>
      <name val="Avenir"/>
    </font>
    <font>
      <b/>
      <sz val="11"/>
      <color rgb="FFFFFFFF"/>
      <name val="Avenir"/>
    </font>
    <font>
      <b/>
      <sz val="12"/>
      <color theme="1"/>
      <name val="Aptos Narrow"/>
      <family val="2"/>
      <scheme val="minor"/>
    </font>
  </fonts>
  <fills count="10">
    <fill>
      <patternFill patternType="none"/>
    </fill>
    <fill>
      <patternFill patternType="gray125"/>
    </fill>
    <fill>
      <patternFill patternType="solid">
        <fgColor rgb="FF727687"/>
        <bgColor rgb="FF727687"/>
      </patternFill>
    </fill>
    <fill>
      <patternFill patternType="solid">
        <fgColor rgb="FF1AB0A3"/>
        <bgColor rgb="FF1AB0A3"/>
      </patternFill>
    </fill>
    <fill>
      <patternFill patternType="solid">
        <fgColor theme="5"/>
        <bgColor theme="5"/>
      </patternFill>
    </fill>
    <fill>
      <patternFill patternType="solid">
        <fgColor theme="0"/>
        <bgColor theme="0"/>
      </patternFill>
    </fill>
    <fill>
      <patternFill patternType="solid">
        <fgColor theme="4"/>
        <bgColor theme="4"/>
      </patternFill>
    </fill>
    <fill>
      <patternFill patternType="solid">
        <fgColor rgb="FFC1E4F5"/>
        <bgColor rgb="FFC1E4F5"/>
      </patternFill>
    </fill>
    <fill>
      <patternFill patternType="solid">
        <fgColor rgb="FFFFFF00"/>
        <bgColor rgb="FFFFFF00"/>
      </patternFill>
    </fill>
    <fill>
      <patternFill patternType="solid">
        <fgColor rgb="FFE7E7E9"/>
        <bgColor theme="0"/>
      </patternFill>
    </fill>
  </fills>
  <borders count="9">
    <border>
      <left/>
      <right/>
      <top/>
      <bottom/>
      <diagonal/>
    </border>
    <border>
      <left/>
      <right/>
      <top/>
      <bottom/>
      <diagonal/>
    </border>
    <border>
      <left style="thin">
        <color rgb="FF45B0E1"/>
      </left>
      <right/>
      <top style="thin">
        <color rgb="FF45B0E1"/>
      </top>
      <bottom/>
      <diagonal/>
    </border>
    <border>
      <left/>
      <right style="thin">
        <color rgb="FF45B0E1"/>
      </right>
      <top style="thin">
        <color rgb="FF45B0E1"/>
      </top>
      <bottom/>
      <diagonal/>
    </border>
    <border>
      <left style="thin">
        <color rgb="FF45B0E1"/>
      </left>
      <right/>
      <top style="thin">
        <color rgb="FF45B0E1"/>
      </top>
      <bottom style="thin">
        <color rgb="FF45B0E1"/>
      </bottom>
      <diagonal/>
    </border>
    <border>
      <left/>
      <right style="thin">
        <color rgb="FF45B0E1"/>
      </right>
      <top style="thin">
        <color rgb="FF45B0E1"/>
      </top>
      <bottom style="thin">
        <color rgb="FF45B0E1"/>
      </bottom>
      <diagonal/>
    </border>
    <border>
      <left/>
      <right style="thin">
        <color rgb="FF45B0E1"/>
      </right>
      <top style="thin">
        <color rgb="FF45B0E1"/>
      </top>
      <bottom style="thin">
        <color rgb="FF45B0E1"/>
      </bottom>
      <diagonal/>
    </border>
    <border>
      <left style="thin">
        <color rgb="FF45B0E1"/>
      </left>
      <right/>
      <top style="thin">
        <color rgb="FF45B0E1"/>
      </top>
      <bottom style="thin">
        <color rgb="FF45B0E1"/>
      </bottom>
      <diagonal/>
    </border>
    <border>
      <left/>
      <right/>
      <top style="thin">
        <color rgb="FF45B0E1"/>
      </top>
      <bottom style="thin">
        <color rgb="FF45B0E1"/>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3" fillId="5" borderId="1" xfId="0" applyFont="1" applyFill="1" applyBorder="1" applyAlignment="1">
      <alignment horizontal="center"/>
    </xf>
    <xf numFmtId="164" fontId="3" fillId="5" borderId="1" xfId="0" applyNumberFormat="1" applyFont="1" applyFill="1" applyBorder="1" applyAlignment="1">
      <alignment horizontal="center"/>
    </xf>
    <xf numFmtId="165" fontId="3" fillId="5" borderId="1" xfId="0" applyNumberFormat="1" applyFont="1" applyFill="1" applyBorder="1" applyAlignment="1">
      <alignment horizontal="center"/>
    </xf>
    <xf numFmtId="10" fontId="3" fillId="5" borderId="1" xfId="0" applyNumberFormat="1" applyFont="1" applyFill="1" applyBorder="1" applyAlignment="1">
      <alignment horizontal="center"/>
    </xf>
    <xf numFmtId="0" fontId="3" fillId="0" borderId="0" xfId="0" applyFont="1" applyAlignment="1">
      <alignment vertical="top" wrapText="1"/>
    </xf>
    <xf numFmtId="0" fontId="4" fillId="0" borderId="0" xfId="0" applyFont="1"/>
    <xf numFmtId="0" fontId="5" fillId="0" borderId="0" xfId="0" applyFont="1"/>
    <xf numFmtId="0" fontId="6" fillId="0" borderId="0" xfId="0" applyFont="1" applyAlignment="1">
      <alignment vertical="top" wrapText="1"/>
    </xf>
    <xf numFmtId="164" fontId="3" fillId="0" borderId="0" xfId="0" applyNumberFormat="1" applyFont="1" applyAlignment="1">
      <alignment horizontal="center" vertical="center"/>
    </xf>
    <xf numFmtId="0" fontId="8" fillId="0" borderId="0" xfId="0" applyFont="1" applyAlignment="1">
      <alignment vertical="top"/>
    </xf>
    <xf numFmtId="0" fontId="9" fillId="0" borderId="0" xfId="0" applyFont="1" applyAlignment="1">
      <alignment vertical="top" wrapText="1"/>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0" fontId="10" fillId="6" borderId="1" xfId="0" applyFont="1" applyFill="1" applyBorder="1" applyAlignment="1">
      <alignment horizontal="center" vertical="center"/>
    </xf>
    <xf numFmtId="0" fontId="7" fillId="6"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wrapText="1"/>
    </xf>
    <xf numFmtId="0" fontId="1" fillId="7" borderId="8"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8" xfId="0" applyFont="1" applyFill="1" applyBorder="1" applyAlignment="1">
      <alignment horizontal="center" vertical="center" wrapText="1"/>
    </xf>
    <xf numFmtId="0" fontId="11" fillId="0" borderId="0" xfId="0" applyFont="1" applyAlignment="1">
      <alignment vertical="top" wrapText="1"/>
    </xf>
    <xf numFmtId="0" fontId="10" fillId="0" borderId="0" xfId="0" applyFont="1" applyAlignment="1">
      <alignment horizontal="center" vertical="center"/>
    </xf>
    <xf numFmtId="164" fontId="10" fillId="0" borderId="0" xfId="0" applyNumberFormat="1" applyFon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wrapText="1"/>
    </xf>
    <xf numFmtId="9"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12" fillId="3"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165" fontId="3" fillId="9" borderId="1" xfId="0" applyNumberFormat="1" applyFont="1" applyFill="1" applyBorder="1" applyAlignment="1">
      <alignment horizontal="center"/>
    </xf>
    <xf numFmtId="0" fontId="14" fillId="0" borderId="4" xfId="0" applyFont="1" applyBorder="1" applyAlignment="1">
      <alignment horizontal="center" vertical="center"/>
    </xf>
    <xf numFmtId="0" fontId="14" fillId="7" borderId="7" xfId="0" applyFont="1" applyFill="1" applyBorder="1" applyAlignment="1">
      <alignment horizontal="center" vertical="center"/>
    </xf>
  </cellXfs>
  <cellStyles count="1">
    <cellStyle name="Normal" xfId="0" builtinId="0"/>
  </cellStyles>
  <dxfs count="30">
    <dxf>
      <numFmt numFmtId="164" formatCode="&quot;$&quot;#,##0.00"/>
    </dxf>
    <dxf>
      <numFmt numFmtId="164" formatCode="&quot;$&quot;#,##0.00"/>
    </dxf>
    <dxf>
      <font>
        <color rgb="FF9C0006"/>
      </font>
      <fill>
        <patternFill>
          <bgColor rgb="FFFFC7CE"/>
        </patternFill>
      </fill>
    </dxf>
    <dxf>
      <font>
        <color rgb="FF9C0006"/>
      </font>
      <fill>
        <patternFill>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strike val="0"/>
        <outline val="0"/>
        <shadow val="0"/>
        <u val="none"/>
        <vertAlign val="baseline"/>
        <sz val="11"/>
        <color rgb="FFFFFFFF"/>
        <name val="Aptos Narrow"/>
        <family val="2"/>
        <scheme val="minor"/>
      </font>
    </dxf>
    <dxf>
      <fill>
        <patternFill patternType="solid">
          <fgColor theme="0"/>
          <bgColor rgb="FFE7E7E9"/>
        </patternFill>
      </fill>
    </dxf>
    <dxf>
      <fill>
        <patternFill patternType="solid">
          <fgColor theme="0"/>
          <bgColor rgb="FFE7E7E9"/>
        </patternFill>
      </fill>
    </dxf>
    <dxf>
      <fill>
        <patternFill patternType="solid">
          <fgColor theme="0"/>
          <bgColor rgb="FFE7E7E9"/>
        </patternFill>
      </fill>
    </dxf>
    <dxf>
      <fill>
        <patternFill patternType="solid">
          <fgColor theme="0"/>
          <bgColor rgb="FFE7E7E9"/>
        </patternFill>
      </fill>
    </dxf>
    <dxf>
      <fill>
        <patternFill patternType="solid">
          <fgColor theme="0"/>
          <bgColor rgb="FFE7E7E9"/>
        </patternFill>
      </fill>
    </dxf>
    <dxf>
      <font>
        <color rgb="FF006100"/>
      </font>
      <fill>
        <patternFill patternType="solid">
          <fgColor rgb="FFC6EFCE"/>
          <bgColor rgb="FFC6EFCE"/>
        </patternFill>
      </fill>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0"/>
          <bgColor theme="0"/>
        </patternFill>
      </fill>
    </dxf>
  </dxfs>
  <tableStyles count="3">
    <tableStyle name="DATA-style" pivot="0" count="3" xr9:uid="{00000000-0011-0000-FFFF-FFFF00000000}">
      <tableStyleElement type="headerRow" dxfId="29"/>
      <tableStyleElement type="firstRowStripe" dxfId="28"/>
      <tableStyleElement type="secondRowStripe" dxfId="27"/>
    </tableStyle>
    <tableStyle name="Overview Summary-style" pivot="0" count="3" xr9:uid="{00000000-0011-0000-FFFF-FFFF01000000}">
      <tableStyleElement type="headerRow" dxfId="26"/>
      <tableStyleElement type="firstRowStripe" dxfId="25"/>
      <tableStyleElement type="secondRowStripe" dxfId="24"/>
    </tableStyle>
    <tableStyle name="Overview Summary-style 2" pivot="0" count="3" xr9:uid="{00000000-0011-0000-FFFF-FFFF02000000}">
      <tableStyleElement type="headerRow" dxfId="23"/>
      <tableStyleElement type="firstRowStripe" dxfId="22"/>
      <tableStyleElement type="secondRowStripe" dxfId="21"/>
    </tableStyle>
  </tableStyles>
  <colors>
    <mruColors>
      <color rgb="FFE7E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'Overview Summary'!$B$10</c:f>
              <c:strCache>
                <c:ptCount val="1"/>
                <c:pt idx="0">
                  <c:v>Ineligible Loan Count</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8717-4D0C-ADF2-C10BE8551681}"/>
              </c:ext>
            </c:extLst>
          </c:dPt>
          <c:dPt>
            <c:idx val="1"/>
            <c:invertIfNegative val="0"/>
            <c:bubble3D val="0"/>
            <c:spPr>
              <a:solidFill>
                <a:srgbClr val="0070C0"/>
              </a:solidFill>
              <a:ln>
                <a:noFill/>
              </a:ln>
              <a:effectLst/>
            </c:spPr>
            <c:extLst>
              <c:ext xmlns:c16="http://schemas.microsoft.com/office/drawing/2014/chart" uri="{C3380CC4-5D6E-409C-BE32-E72D297353CC}">
                <c16:uniqueId val="{00000004-8717-4D0C-ADF2-C10BE8551681}"/>
              </c:ext>
            </c:extLst>
          </c:dPt>
          <c:dPt>
            <c:idx val="2"/>
            <c:invertIfNegative val="0"/>
            <c:bubble3D val="0"/>
            <c:spPr>
              <a:solidFill>
                <a:srgbClr val="92D050"/>
              </a:solidFill>
              <a:ln>
                <a:noFill/>
              </a:ln>
              <a:effectLst/>
            </c:spPr>
            <c:extLst>
              <c:ext xmlns:c16="http://schemas.microsoft.com/office/drawing/2014/chart" uri="{C3380CC4-5D6E-409C-BE32-E72D297353CC}">
                <c16:uniqueId val="{00000003-8717-4D0C-ADF2-C10BE8551681}"/>
              </c:ext>
            </c:extLst>
          </c:dPt>
          <c:dPt>
            <c:idx val="3"/>
            <c:invertIfNegative val="0"/>
            <c:bubble3D val="0"/>
            <c:spPr>
              <a:solidFill>
                <a:srgbClr val="FFC000"/>
              </a:solidFill>
              <a:ln>
                <a:noFill/>
              </a:ln>
              <a:effectLst/>
            </c:spPr>
            <c:extLst>
              <c:ext xmlns:c16="http://schemas.microsoft.com/office/drawing/2014/chart" uri="{C3380CC4-5D6E-409C-BE32-E72D297353CC}">
                <c16:uniqueId val="{00000002-8717-4D0C-ADF2-C10BE8551681}"/>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8717-4D0C-ADF2-C10BE8551681}"/>
              </c:ext>
            </c:extLst>
          </c:dPt>
          <c:cat>
            <c:strRef>
              <c:f>'Overview Summary'!$A$11:$A$15</c:f>
              <c:strCache>
                <c:ptCount val="5"/>
                <c:pt idx="0">
                  <c:v>Not first lien</c:v>
                </c:pt>
                <c:pt idx="1">
                  <c:v>Payment delinquent</c:v>
                </c:pt>
                <c:pt idx="2">
                  <c:v>UPB &gt; $800k</c:v>
                </c:pt>
                <c:pt idx="3">
                  <c:v>Origination date too old</c:v>
                </c:pt>
                <c:pt idx="4">
                  <c:v>Appraisal date too old</c:v>
                </c:pt>
              </c:strCache>
            </c:strRef>
          </c:cat>
          <c:val>
            <c:numRef>
              <c:f>'Overview Summary'!$B$11:$B$15</c:f>
              <c:numCache>
                <c:formatCode>General</c:formatCode>
                <c:ptCount val="5"/>
                <c:pt idx="0">
                  <c:v>5</c:v>
                </c:pt>
                <c:pt idx="1">
                  <c:v>2</c:v>
                </c:pt>
                <c:pt idx="2">
                  <c:v>8</c:v>
                </c:pt>
                <c:pt idx="3">
                  <c:v>56</c:v>
                </c:pt>
                <c:pt idx="4">
                  <c:v>73</c:v>
                </c:pt>
              </c:numCache>
            </c:numRef>
          </c:val>
          <c:extLst>
            <c:ext xmlns:c16="http://schemas.microsoft.com/office/drawing/2014/chart" uri="{C3380CC4-5D6E-409C-BE32-E72D297353CC}">
              <c16:uniqueId val="{00000000-8717-4D0C-ADF2-C10BE8551681}"/>
            </c:ext>
          </c:extLst>
        </c:ser>
        <c:dLbls>
          <c:showLegendKey val="0"/>
          <c:showVal val="0"/>
          <c:showCatName val="0"/>
          <c:showSerName val="0"/>
          <c:showPercent val="0"/>
          <c:showBubbleSize val="0"/>
        </c:dLbls>
        <c:gapWidth val="219"/>
        <c:overlap val="-27"/>
        <c:axId val="798664656"/>
        <c:axId val="798663216"/>
      </c:barChart>
      <c:catAx>
        <c:axId val="79866465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8663216"/>
        <c:crosses val="autoZero"/>
        <c:auto val="1"/>
        <c:lblAlgn val="ctr"/>
        <c:lblOffset val="100"/>
        <c:noMultiLvlLbl val="0"/>
      </c:catAx>
      <c:valAx>
        <c:axId val="79866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664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85725</xdr:colOff>
      <xdr:row>15</xdr:row>
      <xdr:rowOff>95249</xdr:rowOff>
    </xdr:from>
    <xdr:ext cx="3638549" cy="904875"/>
    <xdr:sp macro="" textlink="">
      <xdr:nvSpPr>
        <xdr:cNvPr id="3" name="Shape 3">
          <a:extLst>
            <a:ext uri="{FF2B5EF4-FFF2-40B4-BE49-F238E27FC236}">
              <a16:creationId xmlns:a16="http://schemas.microsoft.com/office/drawing/2014/main" id="{00000000-0008-0000-0100-000003000000}"/>
            </a:ext>
          </a:extLst>
        </xdr:cNvPr>
        <xdr:cNvSpPr txBox="1"/>
      </xdr:nvSpPr>
      <xdr:spPr>
        <a:xfrm>
          <a:off x="85725" y="3095624"/>
          <a:ext cx="3638549" cy="9048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FF0000"/>
              </a:solidFill>
              <a:latin typeface="+mn-lt"/>
              <a:ea typeface="Arial"/>
              <a:cs typeface="Arial"/>
              <a:sym typeface="Arial"/>
            </a:rPr>
            <a:t>***Primary drivers reflect which eligibility criteria failed among ineligible loans only, rather than which criteria failed most frequently across the full dataset.</a:t>
          </a:r>
          <a:endParaRPr sz="1400">
            <a:latin typeface="+mn-lt"/>
          </a:endParaRPr>
        </a:p>
        <a:p>
          <a:pPr marL="0" lvl="0" indent="0" algn="l" rtl="0">
            <a:spcBef>
              <a:spcPts val="0"/>
            </a:spcBef>
            <a:spcAft>
              <a:spcPts val="0"/>
            </a:spcAft>
            <a:buNone/>
          </a:pPr>
          <a:r>
            <a:rPr lang="en-US" sz="1100">
              <a:solidFill>
                <a:srgbClr val="FF0000"/>
              </a:solidFill>
              <a:latin typeface="+mn-lt"/>
              <a:ea typeface="Arial"/>
              <a:cs typeface="Arial"/>
              <a:sym typeface="Arial"/>
            </a:rPr>
            <a:t>***Ineligibility drivers are not mutually exclusive; a single loan may fail multiple eligibility criteria</a:t>
          </a:r>
          <a:endParaRPr sz="1100">
            <a:solidFill>
              <a:srgbClr val="FF0000"/>
            </a:solidFill>
            <a:latin typeface="Arial"/>
            <a:ea typeface="Arial"/>
            <a:cs typeface="Arial"/>
            <a:sym typeface="Arial"/>
          </a:endParaRPr>
        </a:p>
      </xdr:txBody>
    </xdr:sp>
    <xdr:clientData fLocksWithSheet="0"/>
  </xdr:oneCellAnchor>
  <xdr:oneCellAnchor>
    <xdr:from>
      <xdr:col>0</xdr:col>
      <xdr:colOff>19049</xdr:colOff>
      <xdr:row>26</xdr:row>
      <xdr:rowOff>66675</xdr:rowOff>
    </xdr:from>
    <xdr:ext cx="3095625" cy="2476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19049" y="8162925"/>
          <a:ext cx="3095625" cy="247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rgbClr val="FF0000"/>
              </a:solidFill>
              <a:latin typeface="+mn-lt"/>
              <a:ea typeface="Arial"/>
              <a:cs typeface="Arial"/>
              <a:sym typeface="Arial"/>
            </a:rPr>
            <a:t>***Concentrations tested on eligible loans only</a:t>
          </a:r>
          <a:endParaRPr sz="1400">
            <a:latin typeface="+mn-lt"/>
          </a:endParaRPr>
        </a:p>
      </xdr:txBody>
    </xdr:sp>
    <xdr:clientData fLocksWithSheet="0"/>
  </xdr:oneCellAnchor>
  <xdr:twoCellAnchor>
    <xdr:from>
      <xdr:col>2</xdr:col>
      <xdr:colOff>352425</xdr:colOff>
      <xdr:row>4</xdr:row>
      <xdr:rowOff>119062</xdr:rowOff>
    </xdr:from>
    <xdr:to>
      <xdr:col>6</xdr:col>
      <xdr:colOff>304800</xdr:colOff>
      <xdr:row>16</xdr:row>
      <xdr:rowOff>685800</xdr:rowOff>
    </xdr:to>
    <xdr:graphicFrame macro="">
      <xdr:nvGraphicFramePr>
        <xdr:cNvPr id="6" name="Chart 5">
          <a:extLst>
            <a:ext uri="{FF2B5EF4-FFF2-40B4-BE49-F238E27FC236}">
              <a16:creationId xmlns:a16="http://schemas.microsoft.com/office/drawing/2014/main" id="{5AE4264F-8204-2D36-C01A-4E4F036CD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A101">
  <autoFilter ref="A1:AA101" xr:uid="{00000000-000C-0000-FFFF-FFFF00000000}"/>
  <tableColumns count="27">
    <tableColumn id="1" xr3:uid="{00000000-0010-0000-0000-000001000000}" name="Loan ID"/>
    <tableColumn id="2" xr3:uid="{00000000-0010-0000-0000-000002000000}" name="Product Type "/>
    <tableColumn id="3" xr3:uid="{00000000-0010-0000-0000-000003000000}" name="Lien Position"/>
    <tableColumn id="4" xr3:uid="{00000000-0010-0000-0000-000004000000}" name="Address"/>
    <tableColumn id="5" xr3:uid="{00000000-0010-0000-0000-000005000000}" name="City"/>
    <tableColumn id="6" xr3:uid="{00000000-0010-0000-0000-000006000000}" name="State"/>
    <tableColumn id="7" xr3:uid="{00000000-0010-0000-0000-000007000000}" name="Zip Code"/>
    <tableColumn id="8" xr3:uid="{00000000-0010-0000-0000-000008000000}" name="Number of Properties"/>
    <tableColumn id="9" xr3:uid="{00000000-0010-0000-0000-000009000000}" name="Number of Units"/>
    <tableColumn id="10" xr3:uid="{00000000-0010-0000-0000-00000A000000}" name="UPB"/>
    <tableColumn id="11" xr3:uid="{00000000-0010-0000-0000-00000B000000}" name="Appraisal Date"/>
    <tableColumn id="12" xr3:uid="{00000000-0010-0000-0000-00000C000000}" name="Appraisal Amount"/>
    <tableColumn id="13" xr3:uid="{00000000-0010-0000-0000-00000D000000}" name="Property Acquisition Date"/>
    <tableColumn id="14" xr3:uid="{00000000-0010-0000-0000-00000E000000}" name="Property Acquisition Price"/>
    <tableColumn id="15" xr3:uid="{00000000-0010-0000-0000-00000F000000}" name="LTAIV"/>
    <tableColumn id="16" xr3:uid="{00000000-0010-0000-0000-000010000000}" name="LTC"/>
    <tableColumn id="17" xr3:uid="{00000000-0010-0000-0000-000011000000}" name="Term (Months)"/>
    <tableColumn id="18" xr3:uid="{00000000-0010-0000-0000-000012000000}" name="Origination Date"/>
    <tableColumn id="19" xr3:uid="{00000000-0010-0000-0000-000013000000}" name="First Payment Date"/>
    <tableColumn id="20" xr3:uid="{00000000-0010-0000-0000-000014000000}" name="Current Maturity Date"/>
    <tableColumn id="21" xr3:uid="{00000000-0010-0000-0000-000015000000}" name="Next Payment Due Date"/>
    <tableColumn id="22" xr3:uid="{00000000-0010-0000-0000-000016000000}" name="Elig_FirstLien" dataDxfId="11"/>
    <tableColumn id="23" xr3:uid="{00000000-0010-0000-0000-000017000000}" name="Current" dataDxfId="10"/>
    <tableColumn id="24" xr3:uid="{00000000-0010-0000-0000-000018000000}" name="Elig_UPB" dataDxfId="9"/>
    <tableColumn id="25" xr3:uid="{00000000-0010-0000-0000-000019000000}" name="Elig_OriginationDate" dataDxfId="8"/>
    <tableColumn id="26" xr3:uid="{00000000-0010-0000-0000-00001A000000}" name="Elig_AppraisalDate" dataDxfId="7"/>
    <tableColumn id="27" xr3:uid="{00000000-0010-0000-0000-00001B000000}" name="Loan's Eligibility"/>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2:E26" headerRowDxfId="15" dataDxfId="13" totalsRowDxfId="14">
  <tableColumns count="5">
    <tableColumn id="1" xr3:uid="{00000000-0010-0000-0100-000001000000}" name="Category" dataDxfId="20"/>
    <tableColumn id="2" xr3:uid="{00000000-0010-0000-0100-000002000000}" name="Exposure UPB" dataDxfId="19"/>
    <tableColumn id="3" xr3:uid="{00000000-0010-0000-0100-000003000000}" name="Limit %" dataDxfId="18"/>
    <tableColumn id="4" xr3:uid="{00000000-0010-0000-0100-000004000000}" name="Applicable limits" dataDxfId="17">
      <calculatedColumnFormula array="1">Table_3[Facility Size]*Table_2[[#This Row],[Limit %]]</calculatedColumnFormula>
    </tableColumn>
    <tableColumn id="5" xr3:uid="{00000000-0010-0000-0100-000005000000}" name="Status" dataDxfId="16"/>
  </tableColumns>
  <tableStyleInfo name="Overview Summar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G25:G26" headerRowDxfId="6" dataDxfId="0">
  <tableColumns count="1">
    <tableColumn id="1" xr3:uid="{00000000-0010-0000-0200-000001000000}" name="Facility Size" dataDxfId="1"/>
  </tableColumns>
  <tableStyleInfo name="Overview Summary-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pane ySplit="1" topLeftCell="A2" activePane="bottomLeft" state="frozen"/>
      <selection pane="bottomLeft" activeCell="AA2" sqref="AA2"/>
    </sheetView>
  </sheetViews>
  <sheetFormatPr defaultColWidth="12.5703125" defaultRowHeight="15" customHeight="1" outlineLevelCol="1"/>
  <cols>
    <col min="1" max="1" width="11.85546875" bestFit="1" customWidth="1"/>
    <col min="2" max="2" width="16.5703125" bestFit="1" customWidth="1"/>
    <col min="3" max="3" width="16.28515625" bestFit="1" customWidth="1"/>
    <col min="4" max="4" width="18.85546875" bestFit="1" customWidth="1"/>
    <col min="5" max="5" width="19.85546875" bestFit="1" customWidth="1"/>
    <col min="6" max="6" width="11.5703125" bestFit="1" customWidth="1"/>
    <col min="7" max="7" width="12.85546875" bestFit="1" customWidth="1"/>
    <col min="8" max="8" width="23.28515625" bestFit="1" customWidth="1"/>
    <col min="9" max="9" width="19" bestFit="1" customWidth="1"/>
    <col min="10" max="10" width="11.140625" bestFit="1" customWidth="1"/>
    <col min="11" max="11" width="17.85546875" bestFit="1" customWidth="1"/>
    <col min="12" max="12" width="20.42578125" bestFit="1" customWidth="1"/>
    <col min="13" max="14" width="22.5703125" bestFit="1" customWidth="1"/>
    <col min="15" max="15" width="10.5703125" bestFit="1" customWidth="1"/>
    <col min="16" max="16" width="8.85546875" bestFit="1" customWidth="1"/>
    <col min="17" max="17" width="17.7109375" bestFit="1" customWidth="1"/>
    <col min="18" max="18" width="19" bestFit="1" customWidth="1"/>
    <col min="19" max="19" width="22" bestFit="1" customWidth="1"/>
    <col min="20" max="20" width="23.5703125" bestFit="1" customWidth="1"/>
    <col min="21" max="21" width="26.140625" bestFit="1" customWidth="1"/>
    <col min="22" max="22" width="18" bestFit="1" customWidth="1" outlineLevel="1"/>
    <col min="23" max="23" width="12.28515625" bestFit="1" customWidth="1" outlineLevel="1"/>
    <col min="24" max="24" width="13.85546875" bestFit="1" customWidth="1" outlineLevel="1"/>
    <col min="25" max="25" width="24.5703125" bestFit="1" customWidth="1" outlineLevel="1"/>
    <col min="26" max="26" width="23" bestFit="1" customWidth="1" outlineLevel="1"/>
    <col min="27" max="27" width="22.28515625" bestFit="1" customWidth="1"/>
  </cols>
  <sheetData>
    <row r="1" spans="1:27" ht="25.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3" t="s">
        <v>18</v>
      </c>
      <c r="T1" s="1" t="s">
        <v>19</v>
      </c>
      <c r="U1" s="1" t="s">
        <v>20</v>
      </c>
      <c r="V1" s="35" t="s">
        <v>21</v>
      </c>
      <c r="W1" s="35" t="s">
        <v>22</v>
      </c>
      <c r="X1" s="35" t="s">
        <v>23</v>
      </c>
      <c r="Y1" s="35" t="s">
        <v>24</v>
      </c>
      <c r="Z1" s="35" t="s">
        <v>25</v>
      </c>
      <c r="AA1" s="36" t="s">
        <v>26</v>
      </c>
    </row>
    <row r="2" spans="1:27">
      <c r="A2" s="4">
        <v>1</v>
      </c>
      <c r="B2" s="4" t="s">
        <v>27</v>
      </c>
      <c r="C2" s="4" t="s">
        <v>28</v>
      </c>
      <c r="D2" s="4" t="s">
        <v>29</v>
      </c>
      <c r="E2" s="4" t="s">
        <v>30</v>
      </c>
      <c r="F2" s="4" t="s">
        <v>31</v>
      </c>
      <c r="G2" s="4">
        <v>62704</v>
      </c>
      <c r="H2" s="4">
        <v>1</v>
      </c>
      <c r="I2" s="4">
        <v>3</v>
      </c>
      <c r="J2" s="5">
        <v>212000</v>
      </c>
      <c r="K2" s="6">
        <v>46010</v>
      </c>
      <c r="L2" s="5">
        <v>312000</v>
      </c>
      <c r="M2" s="6">
        <v>45825</v>
      </c>
      <c r="N2" s="5">
        <v>275000</v>
      </c>
      <c r="O2" s="7">
        <v>0.67948717948717952</v>
      </c>
      <c r="P2" s="7">
        <v>0.77090909090909088</v>
      </c>
      <c r="Q2" s="4">
        <v>30</v>
      </c>
      <c r="R2" s="6">
        <v>45977</v>
      </c>
      <c r="S2" s="6">
        <v>45992</v>
      </c>
      <c r="T2" s="6">
        <v>46889</v>
      </c>
      <c r="U2" s="6">
        <v>46054</v>
      </c>
      <c r="V2" s="37" t="b">
        <f>DATA!$C2 = "First"</f>
        <v>1</v>
      </c>
      <c r="W2" s="37" t="b">
        <f>DATA!$U2 &gt;= DATE(2026, 1, 1) - 30</f>
        <v>1</v>
      </c>
      <c r="X2" s="37" t="b">
        <f>DATA!$J2 &lt;= 800000</f>
        <v>1</v>
      </c>
      <c r="Y2" s="37" t="b">
        <f>AND(DATA!$R2 &gt;= DATE(2026,1,1) - 360, DATA!$R2 &lt;=DATE(2026,1,1))</f>
        <v>1</v>
      </c>
      <c r="Z2" s="37" t="b">
        <f>AND(DATA!$K2 &gt;= DATE(2026,1,1) - 60, DATA!$K2 &lt;= DATE(2026,1,1))</f>
        <v>1</v>
      </c>
      <c r="AA2" s="4" t="s">
        <v>32</v>
      </c>
    </row>
    <row r="3" spans="1:27">
      <c r="A3" s="4">
        <v>2</v>
      </c>
      <c r="B3" s="4" t="s">
        <v>27</v>
      </c>
      <c r="C3" s="4" t="s">
        <v>28</v>
      </c>
      <c r="D3" s="4" t="s">
        <v>33</v>
      </c>
      <c r="E3" s="4" t="s">
        <v>34</v>
      </c>
      <c r="F3" s="4" t="s">
        <v>35</v>
      </c>
      <c r="G3" s="4">
        <v>53703</v>
      </c>
      <c r="H3" s="4">
        <v>1</v>
      </c>
      <c r="I3" s="4">
        <v>1</v>
      </c>
      <c r="J3" s="5">
        <v>578000</v>
      </c>
      <c r="K3" s="6">
        <v>45940</v>
      </c>
      <c r="L3" s="5">
        <v>906000</v>
      </c>
      <c r="M3" s="6">
        <v>45723</v>
      </c>
      <c r="N3" s="5">
        <v>854000</v>
      </c>
      <c r="O3" s="7">
        <v>0.63796909492273735</v>
      </c>
      <c r="P3" s="7">
        <v>0.6768149882903981</v>
      </c>
      <c r="Q3" s="4">
        <v>30</v>
      </c>
      <c r="R3" s="6">
        <v>45881</v>
      </c>
      <c r="S3" s="6">
        <v>45901</v>
      </c>
      <c r="T3" s="6">
        <v>46795</v>
      </c>
      <c r="U3" s="6">
        <v>46054</v>
      </c>
      <c r="V3" s="37" t="b">
        <f>DATA!$C3 = "First"</f>
        <v>1</v>
      </c>
      <c r="W3" s="37" t="b">
        <f>DATA!$U3 &gt;= DATE(2026, 1, 1) - 30</f>
        <v>1</v>
      </c>
      <c r="X3" s="37" t="b">
        <f>DATA!$J3 &lt;= 800000</f>
        <v>1</v>
      </c>
      <c r="Y3" s="37" t="b">
        <f>AND(DATA!$R3 &gt;= DATE(2026,1,1) - 360, DATA!$R3 &lt;=DATE(2026,1,1))</f>
        <v>1</v>
      </c>
      <c r="Z3" s="37" t="b">
        <f>AND(DATA!$K3 &gt;= DATE(2026,1,1) - 60, DATA!$K3 &lt;= DATE(2026,1,1))</f>
        <v>0</v>
      </c>
      <c r="AA3" s="4" t="s">
        <v>36</v>
      </c>
    </row>
    <row r="4" spans="1:27">
      <c r="A4" s="4">
        <v>3</v>
      </c>
      <c r="B4" s="4" t="s">
        <v>27</v>
      </c>
      <c r="C4" s="4" t="s">
        <v>28</v>
      </c>
      <c r="D4" s="4" t="s">
        <v>37</v>
      </c>
      <c r="E4" s="4" t="s">
        <v>38</v>
      </c>
      <c r="F4" s="4" t="s">
        <v>39</v>
      </c>
      <c r="G4" s="4">
        <v>80302</v>
      </c>
      <c r="H4" s="4">
        <v>1</v>
      </c>
      <c r="I4" s="4">
        <v>1</v>
      </c>
      <c r="J4" s="5">
        <v>199000</v>
      </c>
      <c r="K4" s="6">
        <v>45977</v>
      </c>
      <c r="L4" s="5">
        <v>360000</v>
      </c>
      <c r="M4" s="6">
        <v>45814</v>
      </c>
      <c r="N4" s="5">
        <v>277000</v>
      </c>
      <c r="O4" s="7">
        <v>0.55277777777777781</v>
      </c>
      <c r="P4" s="7">
        <v>0.71841155234657039</v>
      </c>
      <c r="Q4" s="4">
        <v>60</v>
      </c>
      <c r="R4" s="6">
        <v>45840</v>
      </c>
      <c r="S4" s="6">
        <v>45870</v>
      </c>
      <c r="T4" s="6">
        <v>47666</v>
      </c>
      <c r="U4" s="6">
        <v>46054</v>
      </c>
      <c r="V4" s="37" t="b">
        <f>DATA!$C4 = "First"</f>
        <v>1</v>
      </c>
      <c r="W4" s="37" t="b">
        <f>DATA!$U4 &gt;= DATE(2026, 1, 1) - 30</f>
        <v>1</v>
      </c>
      <c r="X4" s="37" t="b">
        <f>DATA!$J4 &lt;= 800000</f>
        <v>1</v>
      </c>
      <c r="Y4" s="37" t="b">
        <f>AND(DATA!$R4 &gt;= DATE(2026,1,1) - 360, DATA!$R4 &lt;=DATE(2026,1,1))</f>
        <v>1</v>
      </c>
      <c r="Z4" s="37" t="b">
        <f>AND(DATA!$K4 &gt;= DATE(2026,1,1) - 60, DATA!$K4 &lt;= DATE(2026,1,1))</f>
        <v>1</v>
      </c>
      <c r="AA4" s="4" t="s">
        <v>32</v>
      </c>
    </row>
    <row r="5" spans="1:27">
      <c r="A5" s="4">
        <v>4</v>
      </c>
      <c r="B5" s="4" t="s">
        <v>27</v>
      </c>
      <c r="C5" s="4" t="s">
        <v>28</v>
      </c>
      <c r="D5" s="4" t="s">
        <v>40</v>
      </c>
      <c r="E5" s="4" t="s">
        <v>41</v>
      </c>
      <c r="F5" s="4" t="s">
        <v>42</v>
      </c>
      <c r="G5" s="4">
        <v>78745</v>
      </c>
      <c r="H5" s="4">
        <v>1</v>
      </c>
      <c r="I5" s="4">
        <v>1</v>
      </c>
      <c r="J5" s="5">
        <v>540000</v>
      </c>
      <c r="K5" s="6">
        <v>45756</v>
      </c>
      <c r="L5" s="5">
        <v>1155000</v>
      </c>
      <c r="M5" s="6">
        <v>45482</v>
      </c>
      <c r="N5" s="5">
        <v>853000</v>
      </c>
      <c r="O5" s="7">
        <v>0.46753246753246752</v>
      </c>
      <c r="P5" s="7">
        <v>0.63305978898007031</v>
      </c>
      <c r="Q5" s="4">
        <v>30</v>
      </c>
      <c r="R5" s="6">
        <v>45548</v>
      </c>
      <c r="S5" s="6">
        <v>45566</v>
      </c>
      <c r="T5" s="6">
        <v>46459</v>
      </c>
      <c r="U5" s="6">
        <v>46054</v>
      </c>
      <c r="V5" s="37" t="b">
        <f>DATA!$C5 = "First"</f>
        <v>1</v>
      </c>
      <c r="W5" s="37" t="b">
        <f>DATA!$U5 &gt;= DATE(2026, 1, 1) - 30</f>
        <v>1</v>
      </c>
      <c r="X5" s="37" t="b">
        <f>DATA!$J5 &lt;= 800000</f>
        <v>1</v>
      </c>
      <c r="Y5" s="37" t="b">
        <f>AND(DATA!$R5 &gt;= DATE(2026,1,1) - 360, DATA!$R5 &lt;=DATE(2026,1,1))</f>
        <v>0</v>
      </c>
      <c r="Z5" s="37" t="b">
        <f>AND(DATA!$K5 &gt;= DATE(2026,1,1) - 60, DATA!$K5 &lt;= DATE(2026,1,1))</f>
        <v>0</v>
      </c>
      <c r="AA5" s="4" t="s">
        <v>36</v>
      </c>
    </row>
    <row r="6" spans="1:27">
      <c r="A6" s="4">
        <v>5</v>
      </c>
      <c r="B6" s="4" t="s">
        <v>27</v>
      </c>
      <c r="C6" s="4" t="s">
        <v>28</v>
      </c>
      <c r="D6" s="4" t="s">
        <v>43</v>
      </c>
      <c r="E6" s="4" t="s">
        <v>44</v>
      </c>
      <c r="F6" s="4" t="s">
        <v>45</v>
      </c>
      <c r="G6" s="4">
        <v>97301</v>
      </c>
      <c r="H6" s="4">
        <v>1</v>
      </c>
      <c r="I6" s="4">
        <v>4</v>
      </c>
      <c r="J6" s="5">
        <v>319000</v>
      </c>
      <c r="K6" s="6">
        <v>45811</v>
      </c>
      <c r="L6" s="5">
        <v>740000</v>
      </c>
      <c r="M6" s="6">
        <v>45662</v>
      </c>
      <c r="N6" s="5">
        <v>534000</v>
      </c>
      <c r="O6" s="7">
        <v>0.43108108108108106</v>
      </c>
      <c r="P6" s="7">
        <v>0.59737827715355807</v>
      </c>
      <c r="Q6" s="4">
        <v>36</v>
      </c>
      <c r="R6" s="6">
        <v>45755</v>
      </c>
      <c r="S6" s="6">
        <v>45778</v>
      </c>
      <c r="T6" s="6">
        <v>46851</v>
      </c>
      <c r="U6" s="6">
        <v>46054</v>
      </c>
      <c r="V6" s="37" t="b">
        <f>DATA!$C6 = "First"</f>
        <v>1</v>
      </c>
      <c r="W6" s="37" t="b">
        <f>DATA!$U6 &gt;= DATE(2026, 1, 1) - 30</f>
        <v>1</v>
      </c>
      <c r="X6" s="37" t="b">
        <f>DATA!$J6 &lt;= 800000</f>
        <v>1</v>
      </c>
      <c r="Y6" s="37" t="b">
        <f>AND(DATA!$R6 &gt;= DATE(2026,1,1) - 360, DATA!$R6 &lt;=DATE(2026,1,1))</f>
        <v>1</v>
      </c>
      <c r="Z6" s="37" t="b">
        <f>AND(DATA!$K6 &gt;= DATE(2026,1,1) - 60, DATA!$K6 &lt;= DATE(2026,1,1))</f>
        <v>0</v>
      </c>
      <c r="AA6" s="4" t="s">
        <v>36</v>
      </c>
    </row>
    <row r="7" spans="1:27">
      <c r="A7" s="4">
        <v>6</v>
      </c>
      <c r="B7" s="4" t="s">
        <v>27</v>
      </c>
      <c r="C7" s="4" t="s">
        <v>28</v>
      </c>
      <c r="D7" s="4" t="s">
        <v>46</v>
      </c>
      <c r="E7" s="4" t="s">
        <v>47</v>
      </c>
      <c r="F7" s="4" t="s">
        <v>48</v>
      </c>
      <c r="G7" s="4">
        <v>43215</v>
      </c>
      <c r="H7" s="4">
        <v>1</v>
      </c>
      <c r="I7" s="4">
        <v>1</v>
      </c>
      <c r="J7" s="5">
        <v>230000</v>
      </c>
      <c r="K7" s="6">
        <v>45653</v>
      </c>
      <c r="L7" s="5">
        <v>408000</v>
      </c>
      <c r="M7" s="6">
        <v>45334</v>
      </c>
      <c r="N7" s="5">
        <v>349000</v>
      </c>
      <c r="O7" s="7">
        <v>0.56372549019607843</v>
      </c>
      <c r="P7" s="7">
        <v>0.65902578796561606</v>
      </c>
      <c r="Q7" s="4">
        <v>36</v>
      </c>
      <c r="R7" s="6">
        <v>45417</v>
      </c>
      <c r="S7" s="6">
        <v>45444</v>
      </c>
      <c r="T7" s="6">
        <v>46512</v>
      </c>
      <c r="U7" s="6">
        <v>46054</v>
      </c>
      <c r="V7" s="37" t="b">
        <f>DATA!$C7 = "First"</f>
        <v>1</v>
      </c>
      <c r="W7" s="37" t="b">
        <f>DATA!$U7 &gt;= DATE(2026, 1, 1) - 30</f>
        <v>1</v>
      </c>
      <c r="X7" s="37" t="b">
        <f>DATA!$J7 &lt;= 800000</f>
        <v>1</v>
      </c>
      <c r="Y7" s="37" t="b">
        <f>AND(DATA!$R7 &gt;= DATE(2026,1,1) - 360, DATA!$R7 &lt;=DATE(2026,1,1))</f>
        <v>0</v>
      </c>
      <c r="Z7" s="37" t="b">
        <f>AND(DATA!$K7 &gt;= DATE(2026,1,1) - 60, DATA!$K7 &lt;= DATE(2026,1,1))</f>
        <v>0</v>
      </c>
      <c r="AA7" s="4" t="s">
        <v>36</v>
      </c>
    </row>
    <row r="8" spans="1:27">
      <c r="A8" s="4">
        <v>7</v>
      </c>
      <c r="B8" s="4" t="s">
        <v>27</v>
      </c>
      <c r="C8" s="4" t="s">
        <v>28</v>
      </c>
      <c r="D8" s="4" t="s">
        <v>49</v>
      </c>
      <c r="E8" s="4" t="s">
        <v>50</v>
      </c>
      <c r="F8" s="4" t="s">
        <v>51</v>
      </c>
      <c r="G8" s="4">
        <v>48104</v>
      </c>
      <c r="H8" s="4">
        <v>1</v>
      </c>
      <c r="I8" s="4">
        <v>1</v>
      </c>
      <c r="J8" s="5">
        <v>469000</v>
      </c>
      <c r="K8" s="6">
        <v>45538</v>
      </c>
      <c r="L8" s="5">
        <v>1097000</v>
      </c>
      <c r="M8" s="6">
        <v>45304</v>
      </c>
      <c r="N8" s="5">
        <v>799000</v>
      </c>
      <c r="O8" s="7">
        <v>0.42752962625341839</v>
      </c>
      <c r="P8" s="7">
        <v>0.58698372966207757</v>
      </c>
      <c r="Q8" s="4">
        <v>24</v>
      </c>
      <c r="R8" s="6">
        <v>45367</v>
      </c>
      <c r="S8" s="6">
        <v>45383</v>
      </c>
      <c r="T8" s="6">
        <v>46097</v>
      </c>
      <c r="U8" s="6">
        <v>46054</v>
      </c>
      <c r="V8" s="37" t="b">
        <f>DATA!$C8 = "First"</f>
        <v>1</v>
      </c>
      <c r="W8" s="37" t="b">
        <f>DATA!$U8 &gt;= DATE(2026, 1, 1) - 30</f>
        <v>1</v>
      </c>
      <c r="X8" s="37" t="b">
        <f>DATA!$J8 &lt;= 800000</f>
        <v>1</v>
      </c>
      <c r="Y8" s="37" t="b">
        <f>AND(DATA!$R8 &gt;= DATE(2026,1,1) - 360, DATA!$R8 &lt;=DATE(2026,1,1))</f>
        <v>0</v>
      </c>
      <c r="Z8" s="37" t="b">
        <f>AND(DATA!$K8 &gt;= DATE(2026,1,1) - 60, DATA!$K8 &lt;= DATE(2026,1,1))</f>
        <v>0</v>
      </c>
      <c r="AA8" s="4" t="s">
        <v>36</v>
      </c>
    </row>
    <row r="9" spans="1:27">
      <c r="A9" s="4">
        <v>8</v>
      </c>
      <c r="B9" s="4" t="s">
        <v>27</v>
      </c>
      <c r="C9" s="4" t="s">
        <v>28</v>
      </c>
      <c r="D9" s="4" t="s">
        <v>52</v>
      </c>
      <c r="E9" s="4" t="s">
        <v>53</v>
      </c>
      <c r="F9" s="4" t="s">
        <v>54</v>
      </c>
      <c r="G9" s="4">
        <v>27601</v>
      </c>
      <c r="H9" s="4">
        <v>1</v>
      </c>
      <c r="I9" s="4">
        <v>1</v>
      </c>
      <c r="J9" s="5">
        <v>720000</v>
      </c>
      <c r="K9" s="6">
        <v>45833</v>
      </c>
      <c r="L9" s="5">
        <v>1039000</v>
      </c>
      <c r="M9" s="6">
        <v>45603</v>
      </c>
      <c r="N9" s="5">
        <v>883000</v>
      </c>
      <c r="O9" s="7">
        <v>0.69297401347449472</v>
      </c>
      <c r="P9" s="7">
        <v>0.81540203850509629</v>
      </c>
      <c r="Q9" s="4">
        <v>30</v>
      </c>
      <c r="R9" s="6">
        <v>45623</v>
      </c>
      <c r="S9" s="6">
        <v>45627</v>
      </c>
      <c r="T9" s="6">
        <v>46534</v>
      </c>
      <c r="U9" s="6">
        <v>46054</v>
      </c>
      <c r="V9" s="37" t="b">
        <f>DATA!$C9 = "First"</f>
        <v>1</v>
      </c>
      <c r="W9" s="37" t="b">
        <f>DATA!$U9 &gt;= DATE(2026, 1, 1) - 30</f>
        <v>1</v>
      </c>
      <c r="X9" s="37" t="b">
        <f>DATA!$J9 &lt;= 800000</f>
        <v>1</v>
      </c>
      <c r="Y9" s="37" t="b">
        <f>AND(DATA!$R9 &gt;= DATE(2026,1,1) - 360, DATA!$R9 &lt;=DATE(2026,1,1))</f>
        <v>0</v>
      </c>
      <c r="Z9" s="37" t="b">
        <f>AND(DATA!$K9 &gt;= DATE(2026,1,1) - 60, DATA!$K9 &lt;= DATE(2026,1,1))</f>
        <v>0</v>
      </c>
      <c r="AA9" s="4" t="s">
        <v>36</v>
      </c>
    </row>
    <row r="10" spans="1:27">
      <c r="A10" s="4">
        <v>9</v>
      </c>
      <c r="B10" s="4" t="s">
        <v>27</v>
      </c>
      <c r="C10" s="4" t="s">
        <v>28</v>
      </c>
      <c r="D10" s="4" t="s">
        <v>55</v>
      </c>
      <c r="E10" s="4" t="s">
        <v>56</v>
      </c>
      <c r="F10" s="4" t="s">
        <v>57</v>
      </c>
      <c r="G10" s="4">
        <v>84601</v>
      </c>
      <c r="H10" s="4">
        <v>1</v>
      </c>
      <c r="I10" s="4">
        <v>1</v>
      </c>
      <c r="J10" s="5">
        <v>573000</v>
      </c>
      <c r="K10" s="6">
        <v>45642</v>
      </c>
      <c r="L10" s="5">
        <v>1067000</v>
      </c>
      <c r="M10" s="6">
        <v>45225</v>
      </c>
      <c r="N10" s="5">
        <v>927000</v>
      </c>
      <c r="O10" s="7">
        <v>0.53701968134957823</v>
      </c>
      <c r="P10" s="7">
        <v>0.6181229773462783</v>
      </c>
      <c r="Q10" s="4">
        <v>24</v>
      </c>
      <c r="R10" s="6">
        <v>45394</v>
      </c>
      <c r="S10" s="6">
        <v>45413</v>
      </c>
      <c r="T10" s="6">
        <v>46124</v>
      </c>
      <c r="U10" s="6">
        <v>46054</v>
      </c>
      <c r="V10" s="37" t="b">
        <f>DATA!$C10 = "First"</f>
        <v>1</v>
      </c>
      <c r="W10" s="37" t="b">
        <f>DATA!$U10 &gt;= DATE(2026, 1, 1) - 30</f>
        <v>1</v>
      </c>
      <c r="X10" s="37" t="b">
        <f>DATA!$J10 &lt;= 800000</f>
        <v>1</v>
      </c>
      <c r="Y10" s="37" t="b">
        <f>AND(DATA!$R10 &gt;= DATE(2026,1,1) - 360, DATA!$R10 &lt;=DATE(2026,1,1))</f>
        <v>0</v>
      </c>
      <c r="Z10" s="37" t="b">
        <f>AND(DATA!$K10 &gt;= DATE(2026,1,1) - 60, DATA!$K10 &lt;= DATE(2026,1,1))</f>
        <v>0</v>
      </c>
      <c r="AA10" s="4" t="s">
        <v>36</v>
      </c>
    </row>
    <row r="11" spans="1:27">
      <c r="A11" s="4">
        <v>10</v>
      </c>
      <c r="B11" s="4" t="s">
        <v>27</v>
      </c>
      <c r="C11" s="4" t="s">
        <v>28</v>
      </c>
      <c r="D11" s="4" t="s">
        <v>58</v>
      </c>
      <c r="E11" s="4" t="s">
        <v>59</v>
      </c>
      <c r="F11" s="4" t="s">
        <v>60</v>
      </c>
      <c r="G11" s="4">
        <v>86001</v>
      </c>
      <c r="H11" s="4">
        <v>1</v>
      </c>
      <c r="I11" s="4">
        <v>1</v>
      </c>
      <c r="J11" s="5">
        <v>405000</v>
      </c>
      <c r="K11" s="6">
        <v>45632</v>
      </c>
      <c r="L11" s="5">
        <v>813000</v>
      </c>
      <c r="M11" s="6">
        <v>45406</v>
      </c>
      <c r="N11" s="5">
        <v>639000</v>
      </c>
      <c r="O11" s="7">
        <v>0.49815498154981552</v>
      </c>
      <c r="P11" s="7">
        <v>0.63380281690140849</v>
      </c>
      <c r="Q11" s="4">
        <v>36</v>
      </c>
      <c r="R11" s="6">
        <v>45561</v>
      </c>
      <c r="S11" s="6">
        <v>45566</v>
      </c>
      <c r="T11" s="6">
        <v>46656</v>
      </c>
      <c r="U11" s="6">
        <v>46054</v>
      </c>
      <c r="V11" s="37" t="b">
        <f>DATA!$C11 = "First"</f>
        <v>1</v>
      </c>
      <c r="W11" s="37" t="b">
        <f>DATA!$U11 &gt;= DATE(2026, 1, 1) - 30</f>
        <v>1</v>
      </c>
      <c r="X11" s="37" t="b">
        <f>DATA!$J11 &lt;= 800000</f>
        <v>1</v>
      </c>
      <c r="Y11" s="37" t="b">
        <f>AND(DATA!$R11 &gt;= DATE(2026,1,1) - 360, DATA!$R11 &lt;=DATE(2026,1,1))</f>
        <v>0</v>
      </c>
      <c r="Z11" s="37" t="b">
        <f>AND(DATA!$K11 &gt;= DATE(2026,1,1) - 60, DATA!$K11 &lt;= DATE(2026,1,1))</f>
        <v>0</v>
      </c>
      <c r="AA11" s="4" t="s">
        <v>36</v>
      </c>
    </row>
    <row r="12" spans="1:27">
      <c r="A12" s="4">
        <v>11</v>
      </c>
      <c r="B12" s="4" t="s">
        <v>27</v>
      </c>
      <c r="C12" s="4" t="s">
        <v>28</v>
      </c>
      <c r="D12" s="4" t="s">
        <v>61</v>
      </c>
      <c r="E12" s="4" t="s">
        <v>62</v>
      </c>
      <c r="F12" s="4" t="s">
        <v>63</v>
      </c>
      <c r="G12" s="4">
        <v>30601</v>
      </c>
      <c r="H12" s="4">
        <v>1</v>
      </c>
      <c r="I12" s="4">
        <v>1</v>
      </c>
      <c r="J12" s="5">
        <v>348000</v>
      </c>
      <c r="K12" s="6">
        <v>45887</v>
      </c>
      <c r="L12" s="5">
        <v>601000</v>
      </c>
      <c r="M12" s="6">
        <v>45612</v>
      </c>
      <c r="N12" s="5">
        <v>464000</v>
      </c>
      <c r="O12" s="7">
        <v>0.57903494176372716</v>
      </c>
      <c r="P12" s="7">
        <v>0.75</v>
      </c>
      <c r="Q12" s="4">
        <v>24</v>
      </c>
      <c r="R12" s="6">
        <v>45702</v>
      </c>
      <c r="S12" s="6">
        <v>45717</v>
      </c>
      <c r="T12" s="6">
        <v>46432</v>
      </c>
      <c r="U12" s="6">
        <v>46054</v>
      </c>
      <c r="V12" s="37" t="b">
        <f>DATA!$C12 = "First"</f>
        <v>1</v>
      </c>
      <c r="W12" s="37" t="b">
        <f>DATA!$U12 &gt;= DATE(2026, 1, 1) - 30</f>
        <v>1</v>
      </c>
      <c r="X12" s="37" t="b">
        <f>DATA!$J12 &lt;= 800000</f>
        <v>1</v>
      </c>
      <c r="Y12" s="37" t="b">
        <f>AND(DATA!$R12 &gt;= DATE(2026,1,1) - 360, DATA!$R12 &lt;=DATE(2026,1,1))</f>
        <v>1</v>
      </c>
      <c r="Z12" s="37" t="b">
        <f>AND(DATA!$K12 &gt;= DATE(2026,1,1) - 60, DATA!$K12 &lt;= DATE(2026,1,1))</f>
        <v>0</v>
      </c>
      <c r="AA12" s="4" t="s">
        <v>36</v>
      </c>
    </row>
    <row r="13" spans="1:27">
      <c r="A13" s="4">
        <v>12</v>
      </c>
      <c r="B13" s="4" t="s">
        <v>27</v>
      </c>
      <c r="C13" s="4" t="s">
        <v>28</v>
      </c>
      <c r="D13" s="4" t="s">
        <v>64</v>
      </c>
      <c r="E13" s="4" t="s">
        <v>65</v>
      </c>
      <c r="F13" s="4" t="s">
        <v>66</v>
      </c>
      <c r="G13" s="4">
        <v>40507</v>
      </c>
      <c r="H13" s="4">
        <v>1</v>
      </c>
      <c r="I13" s="4">
        <v>1</v>
      </c>
      <c r="J13" s="5">
        <v>612000</v>
      </c>
      <c r="K13" s="6">
        <v>46011</v>
      </c>
      <c r="L13" s="5">
        <v>881000</v>
      </c>
      <c r="M13" s="6">
        <v>45836</v>
      </c>
      <c r="N13" s="5">
        <v>796000</v>
      </c>
      <c r="O13" s="7">
        <v>0.69466515323496025</v>
      </c>
      <c r="P13" s="7">
        <v>0.76884422110552764</v>
      </c>
      <c r="Q13" s="4">
        <v>48</v>
      </c>
      <c r="R13" s="6">
        <v>45973</v>
      </c>
      <c r="S13" s="6">
        <v>45992</v>
      </c>
      <c r="T13" s="6">
        <v>47434</v>
      </c>
      <c r="U13" s="6">
        <v>46054</v>
      </c>
      <c r="V13" s="37" t="b">
        <f>DATA!$C13 = "First"</f>
        <v>1</v>
      </c>
      <c r="W13" s="37" t="b">
        <f>DATA!$U13 &gt;= DATE(2026, 1, 1) - 30</f>
        <v>1</v>
      </c>
      <c r="X13" s="37" t="b">
        <f>DATA!$J13 &lt;= 800000</f>
        <v>1</v>
      </c>
      <c r="Y13" s="37" t="b">
        <f>AND(DATA!$R13 &gt;= DATE(2026,1,1) - 360, DATA!$R13 &lt;=DATE(2026,1,1))</f>
        <v>1</v>
      </c>
      <c r="Z13" s="37" t="b">
        <f>AND(DATA!$K13 &gt;= DATE(2026,1,1) - 60, DATA!$K13 &lt;= DATE(2026,1,1))</f>
        <v>1</v>
      </c>
      <c r="AA13" s="4" t="s">
        <v>32</v>
      </c>
    </row>
    <row r="14" spans="1:27">
      <c r="A14" s="4">
        <v>13</v>
      </c>
      <c r="B14" s="4" t="s">
        <v>27</v>
      </c>
      <c r="C14" s="4" t="s">
        <v>28</v>
      </c>
      <c r="D14" s="4" t="s">
        <v>67</v>
      </c>
      <c r="E14" s="4" t="s">
        <v>68</v>
      </c>
      <c r="F14" s="4" t="s">
        <v>69</v>
      </c>
      <c r="G14" s="4">
        <v>95501</v>
      </c>
      <c r="H14" s="4">
        <v>1</v>
      </c>
      <c r="I14" s="4">
        <v>1</v>
      </c>
      <c r="J14" s="5">
        <v>358000</v>
      </c>
      <c r="K14" s="6">
        <v>46015</v>
      </c>
      <c r="L14" s="5">
        <v>638000</v>
      </c>
      <c r="M14" s="6">
        <v>45940</v>
      </c>
      <c r="N14" s="5">
        <v>474000</v>
      </c>
      <c r="O14" s="7">
        <v>0.56112852664576807</v>
      </c>
      <c r="P14" s="7">
        <v>0.75527426160337552</v>
      </c>
      <c r="Q14" s="4">
        <v>24</v>
      </c>
      <c r="R14" s="6">
        <v>45978</v>
      </c>
      <c r="S14" s="6">
        <v>45992</v>
      </c>
      <c r="T14" s="6">
        <v>46708</v>
      </c>
      <c r="U14" s="6">
        <v>46054</v>
      </c>
      <c r="V14" s="37" t="b">
        <f>DATA!$C14 = "First"</f>
        <v>1</v>
      </c>
      <c r="W14" s="37" t="b">
        <f>DATA!$U14 &gt;= DATE(2026, 1, 1) - 30</f>
        <v>1</v>
      </c>
      <c r="X14" s="37" t="b">
        <f>DATA!$J14 &lt;= 800000</f>
        <v>1</v>
      </c>
      <c r="Y14" s="37" t="b">
        <f>AND(DATA!$R14 &gt;= DATE(2026,1,1) - 360, DATA!$R14 &lt;=DATE(2026,1,1))</f>
        <v>1</v>
      </c>
      <c r="Z14" s="37" t="b">
        <f>AND(DATA!$K14 &gt;= DATE(2026,1,1) - 60, DATA!$K14 &lt;= DATE(2026,1,1))</f>
        <v>1</v>
      </c>
      <c r="AA14" s="4" t="s">
        <v>32</v>
      </c>
    </row>
    <row r="15" spans="1:27">
      <c r="A15" s="4">
        <v>14</v>
      </c>
      <c r="B15" s="4" t="s">
        <v>27</v>
      </c>
      <c r="C15" s="4" t="s">
        <v>28</v>
      </c>
      <c r="D15" s="4" t="s">
        <v>70</v>
      </c>
      <c r="E15" s="4" t="s">
        <v>71</v>
      </c>
      <c r="F15" s="4" t="s">
        <v>72</v>
      </c>
      <c r="G15" s="4">
        <v>36604</v>
      </c>
      <c r="H15" s="4">
        <v>1</v>
      </c>
      <c r="I15" s="4">
        <v>24</v>
      </c>
      <c r="J15" s="5">
        <v>416000</v>
      </c>
      <c r="K15" s="6">
        <v>45609</v>
      </c>
      <c r="L15" s="5">
        <v>742000</v>
      </c>
      <c r="M15" s="6">
        <v>45255</v>
      </c>
      <c r="N15" s="5">
        <v>660000</v>
      </c>
      <c r="O15" s="7">
        <v>0.56064690026954178</v>
      </c>
      <c r="P15" s="7">
        <v>0.63030303030303025</v>
      </c>
      <c r="Q15" s="4">
        <v>60</v>
      </c>
      <c r="R15" s="6">
        <v>45355</v>
      </c>
      <c r="S15" s="6">
        <v>45383</v>
      </c>
      <c r="T15" s="6">
        <v>47181</v>
      </c>
      <c r="U15" s="6">
        <v>46054</v>
      </c>
      <c r="V15" s="37" t="b">
        <f>DATA!$C15 = "First"</f>
        <v>1</v>
      </c>
      <c r="W15" s="37" t="b">
        <f>DATA!$U15 &gt;= DATE(2026, 1, 1) - 30</f>
        <v>1</v>
      </c>
      <c r="X15" s="37" t="b">
        <f>DATA!$J15 &lt;= 800000</f>
        <v>1</v>
      </c>
      <c r="Y15" s="37" t="b">
        <f>AND(DATA!$R15 &gt;= DATE(2026,1,1) - 360, DATA!$R15 &lt;=DATE(2026,1,1))</f>
        <v>0</v>
      </c>
      <c r="Z15" s="37" t="b">
        <f>AND(DATA!$K15 &gt;= DATE(2026,1,1) - 60, DATA!$K15 &lt;= DATE(2026,1,1))</f>
        <v>0</v>
      </c>
      <c r="AA15" s="4" t="s">
        <v>36</v>
      </c>
    </row>
    <row r="16" spans="1:27">
      <c r="A16" s="4">
        <v>15</v>
      </c>
      <c r="B16" s="4" t="s">
        <v>27</v>
      </c>
      <c r="C16" s="4" t="s">
        <v>28</v>
      </c>
      <c r="D16" s="4" t="s">
        <v>73</v>
      </c>
      <c r="E16" s="4" t="s">
        <v>74</v>
      </c>
      <c r="F16" s="4" t="s">
        <v>45</v>
      </c>
      <c r="G16" s="4">
        <v>97701</v>
      </c>
      <c r="H16" s="4">
        <v>1</v>
      </c>
      <c r="I16" s="4">
        <v>28</v>
      </c>
      <c r="J16" s="5">
        <v>644000</v>
      </c>
      <c r="K16" s="6">
        <v>45711</v>
      </c>
      <c r="L16" s="5">
        <v>1252000</v>
      </c>
      <c r="M16" s="6">
        <v>45519</v>
      </c>
      <c r="N16" s="5">
        <v>921000</v>
      </c>
      <c r="O16" s="7">
        <v>0.51437699680511184</v>
      </c>
      <c r="P16" s="7">
        <v>0.69923995656894677</v>
      </c>
      <c r="Q16" s="4">
        <v>48</v>
      </c>
      <c r="R16" s="6">
        <v>45645</v>
      </c>
      <c r="S16" s="6">
        <v>45658</v>
      </c>
      <c r="T16" s="6">
        <v>47106</v>
      </c>
      <c r="U16" s="6">
        <v>46054</v>
      </c>
      <c r="V16" s="37" t="b">
        <f>DATA!$C16 = "First"</f>
        <v>1</v>
      </c>
      <c r="W16" s="37" t="b">
        <f>DATA!$U16 &gt;= DATE(2026, 1, 1) - 30</f>
        <v>1</v>
      </c>
      <c r="X16" s="37" t="b">
        <f>DATA!$J16 &lt;= 800000</f>
        <v>1</v>
      </c>
      <c r="Y16" s="37" t="b">
        <f>AND(DATA!$R16 &gt;= DATE(2026,1,1) - 360, DATA!$R16 &lt;=DATE(2026,1,1))</f>
        <v>0</v>
      </c>
      <c r="Z16" s="37" t="b">
        <f>AND(DATA!$K16 &gt;= DATE(2026,1,1) - 60, DATA!$K16 &lt;= DATE(2026,1,1))</f>
        <v>0</v>
      </c>
      <c r="AA16" s="4" t="s">
        <v>36</v>
      </c>
    </row>
    <row r="17" spans="1:27">
      <c r="A17" s="4">
        <v>16</v>
      </c>
      <c r="B17" s="4" t="s">
        <v>27</v>
      </c>
      <c r="C17" s="4" t="s">
        <v>28</v>
      </c>
      <c r="D17" s="4" t="s">
        <v>75</v>
      </c>
      <c r="E17" s="4" t="s">
        <v>76</v>
      </c>
      <c r="F17" s="4" t="s">
        <v>77</v>
      </c>
      <c r="G17" s="4">
        <v>70801</v>
      </c>
      <c r="H17" s="4">
        <v>1</v>
      </c>
      <c r="I17" s="4">
        <v>1</v>
      </c>
      <c r="J17" s="5">
        <v>388000</v>
      </c>
      <c r="K17" s="6">
        <v>45733</v>
      </c>
      <c r="L17" s="5">
        <v>622000</v>
      </c>
      <c r="M17" s="6">
        <v>45449</v>
      </c>
      <c r="N17" s="5">
        <v>502000</v>
      </c>
      <c r="O17" s="7">
        <v>0.6237942122186495</v>
      </c>
      <c r="P17" s="7">
        <v>0.77290836653386452</v>
      </c>
      <c r="Q17" s="4">
        <v>60</v>
      </c>
      <c r="R17" s="6">
        <v>45594</v>
      </c>
      <c r="S17" s="6">
        <v>45597</v>
      </c>
      <c r="T17" s="6">
        <v>47420</v>
      </c>
      <c r="U17" s="6">
        <v>46054</v>
      </c>
      <c r="V17" s="37" t="b">
        <f>DATA!$C17 = "First"</f>
        <v>1</v>
      </c>
      <c r="W17" s="37" t="b">
        <f>DATA!$U17 &gt;= DATE(2026, 1, 1) - 30</f>
        <v>1</v>
      </c>
      <c r="X17" s="37" t="b">
        <f>DATA!$J17 &lt;= 800000</f>
        <v>1</v>
      </c>
      <c r="Y17" s="37" t="b">
        <f>AND(DATA!$R17 &gt;= DATE(2026,1,1) - 360, DATA!$R17 &lt;=DATE(2026,1,1))</f>
        <v>0</v>
      </c>
      <c r="Z17" s="37" t="b">
        <f>AND(DATA!$K17 &gt;= DATE(2026,1,1) - 60, DATA!$K17 &lt;= DATE(2026,1,1))</f>
        <v>0</v>
      </c>
      <c r="AA17" s="4" t="s">
        <v>36</v>
      </c>
    </row>
    <row r="18" spans="1:27">
      <c r="A18" s="4">
        <v>17</v>
      </c>
      <c r="B18" s="4" t="s">
        <v>27</v>
      </c>
      <c r="C18" s="4" t="s">
        <v>28</v>
      </c>
      <c r="D18" s="4" t="s">
        <v>78</v>
      </c>
      <c r="E18" s="4" t="s">
        <v>79</v>
      </c>
      <c r="F18" s="4" t="s">
        <v>80</v>
      </c>
      <c r="G18" s="4">
        <v>34236</v>
      </c>
      <c r="H18" s="4">
        <v>1</v>
      </c>
      <c r="I18" s="4">
        <v>1</v>
      </c>
      <c r="J18" s="5">
        <v>382000</v>
      </c>
      <c r="K18" s="6">
        <v>46013</v>
      </c>
      <c r="L18" s="5">
        <v>867000</v>
      </c>
      <c r="M18" s="6">
        <v>45842</v>
      </c>
      <c r="N18" s="5">
        <v>620000</v>
      </c>
      <c r="O18" s="7">
        <v>0.44059976931949252</v>
      </c>
      <c r="P18" s="7">
        <v>0.61612903225806448</v>
      </c>
      <c r="Q18" s="4">
        <v>60</v>
      </c>
      <c r="R18" s="6">
        <v>45920</v>
      </c>
      <c r="S18" s="6">
        <v>45931</v>
      </c>
      <c r="T18" s="6">
        <v>47746</v>
      </c>
      <c r="U18" s="6">
        <v>46054</v>
      </c>
      <c r="V18" s="37" t="b">
        <f>DATA!$C18 = "First"</f>
        <v>1</v>
      </c>
      <c r="W18" s="37" t="b">
        <f>DATA!$U18 &gt;= DATE(2026, 1, 1) - 30</f>
        <v>1</v>
      </c>
      <c r="X18" s="37" t="b">
        <f>DATA!$J18 &lt;= 800000</f>
        <v>1</v>
      </c>
      <c r="Y18" s="37" t="b">
        <f>AND(DATA!$R18 &gt;= DATE(2026,1,1) - 360, DATA!$R18 &lt;=DATE(2026,1,1))</f>
        <v>1</v>
      </c>
      <c r="Z18" s="37" t="b">
        <f>AND(DATA!$K18 &gt;= DATE(2026,1,1) - 60, DATA!$K18 &lt;= DATE(2026,1,1))</f>
        <v>1</v>
      </c>
      <c r="AA18" s="4" t="s">
        <v>32</v>
      </c>
    </row>
    <row r="19" spans="1:27">
      <c r="A19" s="4">
        <v>18</v>
      </c>
      <c r="B19" s="4" t="s">
        <v>27</v>
      </c>
      <c r="C19" s="4" t="s">
        <v>28</v>
      </c>
      <c r="D19" s="4" t="s">
        <v>81</v>
      </c>
      <c r="E19" s="4" t="s">
        <v>82</v>
      </c>
      <c r="F19" s="4" t="s">
        <v>83</v>
      </c>
      <c r="G19" s="4">
        <v>47401</v>
      </c>
      <c r="H19" s="4">
        <v>1</v>
      </c>
      <c r="I19" s="4">
        <v>1</v>
      </c>
      <c r="J19" s="5">
        <v>659000</v>
      </c>
      <c r="K19" s="6">
        <v>45598</v>
      </c>
      <c r="L19" s="5">
        <v>1436000</v>
      </c>
      <c r="M19" s="6">
        <v>45248</v>
      </c>
      <c r="N19" s="5">
        <v>1131000</v>
      </c>
      <c r="O19" s="7">
        <v>0.45891364902506965</v>
      </c>
      <c r="P19" s="7">
        <v>0.58267020335985853</v>
      </c>
      <c r="Q19" s="4">
        <v>48</v>
      </c>
      <c r="R19" s="6">
        <v>45416</v>
      </c>
      <c r="S19" s="6">
        <v>45444</v>
      </c>
      <c r="T19" s="6">
        <v>46877</v>
      </c>
      <c r="U19" s="6">
        <v>46054</v>
      </c>
      <c r="V19" s="37" t="b">
        <f>DATA!$C19 = "First"</f>
        <v>1</v>
      </c>
      <c r="W19" s="37" t="b">
        <f>DATA!$U19 &gt;= DATE(2026, 1, 1) - 30</f>
        <v>1</v>
      </c>
      <c r="X19" s="37" t="b">
        <f>DATA!$J19 &lt;= 800000</f>
        <v>1</v>
      </c>
      <c r="Y19" s="37" t="b">
        <f>AND(DATA!$R19 &gt;= DATE(2026,1,1) - 360, DATA!$R19 &lt;=DATE(2026,1,1))</f>
        <v>0</v>
      </c>
      <c r="Z19" s="37" t="b">
        <f>AND(DATA!$K19 &gt;= DATE(2026,1,1) - 60, DATA!$K19 &lt;= DATE(2026,1,1))</f>
        <v>0</v>
      </c>
      <c r="AA19" s="4" t="s">
        <v>36</v>
      </c>
    </row>
    <row r="20" spans="1:27">
      <c r="A20" s="4">
        <v>19</v>
      </c>
      <c r="B20" s="4" t="s">
        <v>27</v>
      </c>
      <c r="C20" s="4" t="s">
        <v>28</v>
      </c>
      <c r="D20" s="4" t="s">
        <v>84</v>
      </c>
      <c r="E20" s="4" t="s">
        <v>85</v>
      </c>
      <c r="F20" s="4" t="s">
        <v>54</v>
      </c>
      <c r="G20" s="4">
        <v>27514</v>
      </c>
      <c r="H20" s="4">
        <v>1</v>
      </c>
      <c r="I20" s="4">
        <v>13</v>
      </c>
      <c r="J20" s="5">
        <v>466000</v>
      </c>
      <c r="K20" s="6">
        <v>45559</v>
      </c>
      <c r="L20" s="5">
        <v>777000</v>
      </c>
      <c r="M20" s="6">
        <v>45306</v>
      </c>
      <c r="N20" s="5">
        <v>640000</v>
      </c>
      <c r="O20" s="7">
        <v>0.59974259974259969</v>
      </c>
      <c r="P20" s="7">
        <v>0.72812500000000002</v>
      </c>
      <c r="Q20" s="4">
        <v>36</v>
      </c>
      <c r="R20" s="6">
        <v>45388</v>
      </c>
      <c r="S20" s="6">
        <v>45413</v>
      </c>
      <c r="T20" s="6">
        <v>46483</v>
      </c>
      <c r="U20" s="6">
        <v>46054</v>
      </c>
      <c r="V20" s="37" t="b">
        <f>DATA!$C20 = "First"</f>
        <v>1</v>
      </c>
      <c r="W20" s="37" t="b">
        <f>DATA!$U20 &gt;= DATE(2026, 1, 1) - 30</f>
        <v>1</v>
      </c>
      <c r="X20" s="37" t="b">
        <f>DATA!$J20 &lt;= 800000</f>
        <v>1</v>
      </c>
      <c r="Y20" s="37" t="b">
        <f>AND(DATA!$R20 &gt;= DATE(2026,1,1) - 360, DATA!$R20 &lt;=DATE(2026,1,1))</f>
        <v>0</v>
      </c>
      <c r="Z20" s="37" t="b">
        <f>AND(DATA!$K20 &gt;= DATE(2026,1,1) - 60, DATA!$K20 &lt;= DATE(2026,1,1))</f>
        <v>0</v>
      </c>
      <c r="AA20" s="4" t="s">
        <v>36</v>
      </c>
    </row>
    <row r="21" spans="1:27" ht="15.75" customHeight="1">
      <c r="A21" s="4">
        <v>20</v>
      </c>
      <c r="B21" s="4" t="s">
        <v>27</v>
      </c>
      <c r="C21" s="4" t="s">
        <v>28</v>
      </c>
      <c r="D21" s="4" t="s">
        <v>86</v>
      </c>
      <c r="E21" s="4" t="s">
        <v>87</v>
      </c>
      <c r="F21" s="4" t="s">
        <v>88</v>
      </c>
      <c r="G21" s="4">
        <v>59801</v>
      </c>
      <c r="H21" s="4">
        <v>1</v>
      </c>
      <c r="I21" s="4">
        <v>1</v>
      </c>
      <c r="J21" s="5">
        <v>773000</v>
      </c>
      <c r="K21" s="6">
        <v>45392</v>
      </c>
      <c r="L21" s="5">
        <v>1245000</v>
      </c>
      <c r="M21" s="6">
        <v>45183</v>
      </c>
      <c r="N21" s="5">
        <v>948000</v>
      </c>
      <c r="O21" s="7">
        <v>0.62088353413654618</v>
      </c>
      <c r="P21" s="7">
        <v>0.81540084388185652</v>
      </c>
      <c r="Q21" s="4">
        <v>36</v>
      </c>
      <c r="R21" s="6">
        <v>45334</v>
      </c>
      <c r="S21" s="6">
        <v>45352</v>
      </c>
      <c r="T21" s="6">
        <v>46430</v>
      </c>
      <c r="U21" s="6">
        <v>46054</v>
      </c>
      <c r="V21" s="37" t="b">
        <f>DATA!$C21 = "First"</f>
        <v>1</v>
      </c>
      <c r="W21" s="37" t="b">
        <f>DATA!$U21 &gt;= DATE(2026, 1, 1) - 30</f>
        <v>1</v>
      </c>
      <c r="X21" s="37" t="b">
        <f>DATA!$J21 &lt;= 800000</f>
        <v>1</v>
      </c>
      <c r="Y21" s="37" t="b">
        <f>AND(DATA!$R21 &gt;= DATE(2026,1,1) - 360, DATA!$R21 &lt;=DATE(2026,1,1))</f>
        <v>0</v>
      </c>
      <c r="Z21" s="37" t="b">
        <f>AND(DATA!$K21 &gt;= DATE(2026,1,1) - 60, DATA!$K21 &lt;= DATE(2026,1,1))</f>
        <v>0</v>
      </c>
      <c r="AA21" s="4" t="s">
        <v>36</v>
      </c>
    </row>
    <row r="22" spans="1:27" ht="15.75" customHeight="1">
      <c r="A22" s="4">
        <v>21</v>
      </c>
      <c r="B22" s="4" t="s">
        <v>27</v>
      </c>
      <c r="C22" s="4" t="s">
        <v>28</v>
      </c>
      <c r="D22" s="4" t="s">
        <v>89</v>
      </c>
      <c r="E22" s="4" t="s">
        <v>90</v>
      </c>
      <c r="F22" s="4" t="s">
        <v>91</v>
      </c>
      <c r="G22" s="4">
        <v>98225</v>
      </c>
      <c r="H22" s="4">
        <v>1</v>
      </c>
      <c r="I22" s="4">
        <v>4</v>
      </c>
      <c r="J22" s="5">
        <v>282000</v>
      </c>
      <c r="K22" s="6">
        <v>45781</v>
      </c>
      <c r="L22" s="5">
        <v>569000</v>
      </c>
      <c r="M22" s="6">
        <v>45554</v>
      </c>
      <c r="N22" s="5">
        <v>411000</v>
      </c>
      <c r="O22" s="7">
        <v>0.49560632688927941</v>
      </c>
      <c r="P22" s="7">
        <v>0.68613138686131392</v>
      </c>
      <c r="Q22" s="4">
        <v>36</v>
      </c>
      <c r="R22" s="6">
        <v>45623</v>
      </c>
      <c r="S22" s="6">
        <v>45627</v>
      </c>
      <c r="T22" s="6">
        <v>46718</v>
      </c>
      <c r="U22" s="6">
        <v>46054</v>
      </c>
      <c r="V22" s="37" t="b">
        <f>DATA!$C22 = "First"</f>
        <v>1</v>
      </c>
      <c r="W22" s="37" t="b">
        <f>DATA!$U22 &gt;= DATE(2026, 1, 1) - 30</f>
        <v>1</v>
      </c>
      <c r="X22" s="37" t="b">
        <f>DATA!$J22 &lt;= 800000</f>
        <v>1</v>
      </c>
      <c r="Y22" s="37" t="b">
        <f>AND(DATA!$R22 &gt;= DATE(2026,1,1) - 360, DATA!$R22 &lt;=DATE(2026,1,1))</f>
        <v>0</v>
      </c>
      <c r="Z22" s="37" t="b">
        <f>AND(DATA!$K22 &gt;= DATE(2026,1,1) - 60, DATA!$K22 &lt;= DATE(2026,1,1))</f>
        <v>0</v>
      </c>
      <c r="AA22" s="4" t="s">
        <v>36</v>
      </c>
    </row>
    <row r="23" spans="1:27" ht="15.75" customHeight="1">
      <c r="A23" s="4">
        <v>22</v>
      </c>
      <c r="B23" s="4" t="s">
        <v>27</v>
      </c>
      <c r="C23" s="4" t="s">
        <v>28</v>
      </c>
      <c r="D23" s="4" t="s">
        <v>92</v>
      </c>
      <c r="E23" s="4" t="s">
        <v>93</v>
      </c>
      <c r="F23" s="4" t="s">
        <v>94</v>
      </c>
      <c r="G23" s="4">
        <v>19901</v>
      </c>
      <c r="H23" s="4">
        <v>1</v>
      </c>
      <c r="I23" s="4">
        <v>2</v>
      </c>
      <c r="J23" s="5">
        <v>689000</v>
      </c>
      <c r="K23" s="6">
        <v>45690</v>
      </c>
      <c r="L23" s="5">
        <v>1502000</v>
      </c>
      <c r="M23" s="6">
        <v>45454</v>
      </c>
      <c r="N23" s="5">
        <v>1184000</v>
      </c>
      <c r="O23" s="7">
        <v>0.45872170439414117</v>
      </c>
      <c r="P23" s="7">
        <v>0.58192567567567566</v>
      </c>
      <c r="Q23" s="4">
        <v>60</v>
      </c>
      <c r="R23" s="6">
        <v>45505</v>
      </c>
      <c r="S23" s="6">
        <v>45536</v>
      </c>
      <c r="T23" s="6">
        <v>47331</v>
      </c>
      <c r="U23" s="6">
        <v>46054</v>
      </c>
      <c r="V23" s="37" t="b">
        <f>DATA!$C23 = "First"</f>
        <v>1</v>
      </c>
      <c r="W23" s="37" t="b">
        <f>DATA!$U23 &gt;= DATE(2026, 1, 1) - 30</f>
        <v>1</v>
      </c>
      <c r="X23" s="37" t="b">
        <f>DATA!$J23 &lt;= 800000</f>
        <v>1</v>
      </c>
      <c r="Y23" s="37" t="b">
        <f>AND(DATA!$R23 &gt;= DATE(2026,1,1) - 360, DATA!$R23 &lt;=DATE(2026,1,1))</f>
        <v>0</v>
      </c>
      <c r="Z23" s="37" t="b">
        <f>AND(DATA!$K23 &gt;= DATE(2026,1,1) - 60, DATA!$K23 &lt;= DATE(2026,1,1))</f>
        <v>0</v>
      </c>
      <c r="AA23" s="4" t="s">
        <v>36</v>
      </c>
    </row>
    <row r="24" spans="1:27" ht="15.75" customHeight="1">
      <c r="A24" s="4">
        <v>23</v>
      </c>
      <c r="B24" s="4" t="s">
        <v>27</v>
      </c>
      <c r="C24" s="4" t="s">
        <v>28</v>
      </c>
      <c r="D24" s="4" t="s">
        <v>95</v>
      </c>
      <c r="E24" s="4" t="s">
        <v>96</v>
      </c>
      <c r="F24" s="4" t="s">
        <v>97</v>
      </c>
      <c r="G24" s="4">
        <v>83814</v>
      </c>
      <c r="H24" s="4">
        <v>1</v>
      </c>
      <c r="I24" s="4">
        <v>1</v>
      </c>
      <c r="J24" s="5">
        <v>492000</v>
      </c>
      <c r="K24" s="6">
        <v>45791</v>
      </c>
      <c r="L24" s="5">
        <v>783000</v>
      </c>
      <c r="M24" s="6">
        <v>45385</v>
      </c>
      <c r="N24" s="5">
        <v>632000</v>
      </c>
      <c r="O24" s="7">
        <v>0.62835249042145591</v>
      </c>
      <c r="P24" s="7">
        <v>0.77848101265822789</v>
      </c>
      <c r="Q24" s="4">
        <v>60</v>
      </c>
      <c r="R24" s="6">
        <v>45526</v>
      </c>
      <c r="S24" s="6">
        <v>45536</v>
      </c>
      <c r="T24" s="6">
        <v>47352</v>
      </c>
      <c r="U24" s="6">
        <v>46054</v>
      </c>
      <c r="V24" s="37" t="b">
        <f>DATA!$C24 = "First"</f>
        <v>1</v>
      </c>
      <c r="W24" s="37" t="b">
        <f>DATA!$U24 &gt;= DATE(2026, 1, 1) - 30</f>
        <v>1</v>
      </c>
      <c r="X24" s="37" t="b">
        <f>DATA!$J24 &lt;= 800000</f>
        <v>1</v>
      </c>
      <c r="Y24" s="37" t="b">
        <f>AND(DATA!$R24 &gt;= DATE(2026,1,1) - 360, DATA!$R24 &lt;=DATE(2026,1,1))</f>
        <v>0</v>
      </c>
      <c r="Z24" s="37" t="b">
        <f>AND(DATA!$K24 &gt;= DATE(2026,1,1) - 60, DATA!$K24 &lt;= DATE(2026,1,1))</f>
        <v>0</v>
      </c>
      <c r="AA24" s="4" t="s">
        <v>36</v>
      </c>
    </row>
    <row r="25" spans="1:27" ht="15.75" customHeight="1">
      <c r="A25" s="4">
        <v>24</v>
      </c>
      <c r="B25" s="4" t="s">
        <v>27</v>
      </c>
      <c r="C25" s="4" t="s">
        <v>28</v>
      </c>
      <c r="D25" s="4" t="s">
        <v>98</v>
      </c>
      <c r="E25" s="4" t="s">
        <v>99</v>
      </c>
      <c r="F25" s="4" t="s">
        <v>100</v>
      </c>
      <c r="G25" s="4">
        <v>17603</v>
      </c>
      <c r="H25" s="4">
        <v>1</v>
      </c>
      <c r="I25" s="4">
        <v>10</v>
      </c>
      <c r="J25" s="5">
        <v>405000</v>
      </c>
      <c r="K25" s="6">
        <v>45577</v>
      </c>
      <c r="L25" s="5">
        <v>633000</v>
      </c>
      <c r="M25" s="6">
        <v>45296</v>
      </c>
      <c r="N25" s="5">
        <v>581000</v>
      </c>
      <c r="O25" s="7">
        <v>0.6398104265402843</v>
      </c>
      <c r="P25" s="7">
        <v>0.69707401032702232</v>
      </c>
      <c r="Q25" s="4">
        <v>36</v>
      </c>
      <c r="R25" s="6">
        <v>45323</v>
      </c>
      <c r="S25" s="6">
        <v>45352</v>
      </c>
      <c r="T25" s="6">
        <v>46419</v>
      </c>
      <c r="U25" s="6">
        <v>46054</v>
      </c>
      <c r="V25" s="37" t="b">
        <f>DATA!$C25 = "First"</f>
        <v>1</v>
      </c>
      <c r="W25" s="37" t="b">
        <f>DATA!$U25 &gt;= DATE(2026, 1, 1) - 30</f>
        <v>1</v>
      </c>
      <c r="X25" s="37" t="b">
        <f>DATA!$J25 &lt;= 800000</f>
        <v>1</v>
      </c>
      <c r="Y25" s="37" t="b">
        <f>AND(DATA!$R25 &gt;= DATE(2026,1,1) - 360, DATA!$R25 &lt;=DATE(2026,1,1))</f>
        <v>0</v>
      </c>
      <c r="Z25" s="37" t="b">
        <f>AND(DATA!$K25 &gt;= DATE(2026,1,1) - 60, DATA!$K25 &lt;= DATE(2026,1,1))</f>
        <v>0</v>
      </c>
      <c r="AA25" s="4" t="s">
        <v>36</v>
      </c>
    </row>
    <row r="26" spans="1:27" ht="15.75" customHeight="1">
      <c r="A26" s="4">
        <v>25</v>
      </c>
      <c r="B26" s="4" t="s">
        <v>27</v>
      </c>
      <c r="C26" s="4" t="s">
        <v>28</v>
      </c>
      <c r="D26" s="4" t="s">
        <v>101</v>
      </c>
      <c r="E26" s="4" t="s">
        <v>102</v>
      </c>
      <c r="F26" s="4" t="s">
        <v>103</v>
      </c>
      <c r="G26" s="4">
        <v>3301</v>
      </c>
      <c r="H26" s="4">
        <v>1</v>
      </c>
      <c r="I26" s="4">
        <v>4</v>
      </c>
      <c r="J26" s="5">
        <v>192000</v>
      </c>
      <c r="K26" s="6">
        <v>45688</v>
      </c>
      <c r="L26" s="5">
        <v>386000</v>
      </c>
      <c r="M26" s="6">
        <v>45518</v>
      </c>
      <c r="N26" s="5">
        <v>309000</v>
      </c>
      <c r="O26" s="7">
        <v>0.49740932642487046</v>
      </c>
      <c r="P26" s="7">
        <v>0.62135922330097082</v>
      </c>
      <c r="Q26" s="4">
        <v>24</v>
      </c>
      <c r="R26" s="6">
        <v>45637</v>
      </c>
      <c r="S26" s="6">
        <v>45658</v>
      </c>
      <c r="T26" s="6">
        <v>46367</v>
      </c>
      <c r="U26" s="6">
        <v>46054</v>
      </c>
      <c r="V26" s="37" t="b">
        <f>DATA!$C26 = "First"</f>
        <v>1</v>
      </c>
      <c r="W26" s="37" t="b">
        <f>DATA!$U26 &gt;= DATE(2026, 1, 1) - 30</f>
        <v>1</v>
      </c>
      <c r="X26" s="37" t="b">
        <f>DATA!$J26 &lt;= 800000</f>
        <v>1</v>
      </c>
      <c r="Y26" s="37" t="b">
        <f>AND(DATA!$R26 &gt;= DATE(2026,1,1) - 360, DATA!$R26 &lt;=DATE(2026,1,1))</f>
        <v>0</v>
      </c>
      <c r="Z26" s="37" t="b">
        <f>AND(DATA!$K26 &gt;= DATE(2026,1,1) - 60, DATA!$K26 &lt;= DATE(2026,1,1))</f>
        <v>0</v>
      </c>
      <c r="AA26" s="4" t="s">
        <v>36</v>
      </c>
    </row>
    <row r="27" spans="1:27" ht="15.75" customHeight="1">
      <c r="A27" s="4">
        <v>26</v>
      </c>
      <c r="B27" s="4" t="s">
        <v>27</v>
      </c>
      <c r="C27" s="4" t="s">
        <v>28</v>
      </c>
      <c r="D27" s="4" t="s">
        <v>104</v>
      </c>
      <c r="E27" s="4" t="s">
        <v>105</v>
      </c>
      <c r="F27" s="4" t="s">
        <v>39</v>
      </c>
      <c r="G27" s="4">
        <v>81003</v>
      </c>
      <c r="H27" s="4">
        <v>1</v>
      </c>
      <c r="I27" s="4">
        <v>3</v>
      </c>
      <c r="J27" s="5">
        <v>730000</v>
      </c>
      <c r="K27" s="6">
        <v>45990</v>
      </c>
      <c r="L27" s="5">
        <v>1125000</v>
      </c>
      <c r="M27" s="6">
        <v>45657</v>
      </c>
      <c r="N27" s="5">
        <v>1028000</v>
      </c>
      <c r="O27" s="7">
        <v>0.64888888888888885</v>
      </c>
      <c r="P27" s="7">
        <v>0.71011673151750976</v>
      </c>
      <c r="Q27" s="4">
        <v>48</v>
      </c>
      <c r="R27" s="6">
        <v>45820</v>
      </c>
      <c r="S27" s="6">
        <v>45839</v>
      </c>
      <c r="T27" s="6">
        <v>47281</v>
      </c>
      <c r="U27" s="6">
        <v>46054</v>
      </c>
      <c r="V27" s="37" t="b">
        <f>DATA!$C27 = "First"</f>
        <v>1</v>
      </c>
      <c r="W27" s="37" t="b">
        <f>DATA!$U27 &gt;= DATE(2026, 1, 1) - 30</f>
        <v>1</v>
      </c>
      <c r="X27" s="37" t="b">
        <f>DATA!$J27 &lt;= 800000</f>
        <v>1</v>
      </c>
      <c r="Y27" s="37" t="b">
        <f>AND(DATA!$R27 &gt;= DATE(2026,1,1) - 360, DATA!$R27 &lt;=DATE(2026,1,1))</f>
        <v>1</v>
      </c>
      <c r="Z27" s="37" t="b">
        <f>AND(DATA!$K27 &gt;= DATE(2026,1,1) - 60, DATA!$K27 &lt;= DATE(2026,1,1))</f>
        <v>1</v>
      </c>
      <c r="AA27" s="4" t="s">
        <v>32</v>
      </c>
    </row>
    <row r="28" spans="1:27" ht="15.75" customHeight="1">
      <c r="A28" s="4">
        <v>27</v>
      </c>
      <c r="B28" s="4" t="s">
        <v>27</v>
      </c>
      <c r="C28" s="4" t="s">
        <v>28</v>
      </c>
      <c r="D28" s="4" t="s">
        <v>106</v>
      </c>
      <c r="E28" s="4" t="s">
        <v>107</v>
      </c>
      <c r="F28" s="4" t="s">
        <v>88</v>
      </c>
      <c r="G28" s="4">
        <v>59601</v>
      </c>
      <c r="H28" s="4">
        <v>1</v>
      </c>
      <c r="I28" s="4">
        <v>3</v>
      </c>
      <c r="J28" s="5">
        <v>641000</v>
      </c>
      <c r="K28" s="6">
        <v>45759</v>
      </c>
      <c r="L28" s="5">
        <v>946000</v>
      </c>
      <c r="M28" s="6">
        <v>45379</v>
      </c>
      <c r="N28" s="5">
        <v>790000</v>
      </c>
      <c r="O28" s="7">
        <v>0.67758985200845667</v>
      </c>
      <c r="P28" s="7">
        <v>0.81139240506329113</v>
      </c>
      <c r="Q28" s="4">
        <v>30</v>
      </c>
      <c r="R28" s="6">
        <v>45492</v>
      </c>
      <c r="S28" s="6">
        <v>45505</v>
      </c>
      <c r="T28" s="6">
        <v>46406</v>
      </c>
      <c r="U28" s="6">
        <v>46054</v>
      </c>
      <c r="V28" s="37" t="b">
        <f>DATA!$C28 = "First"</f>
        <v>1</v>
      </c>
      <c r="W28" s="37" t="b">
        <f>DATA!$U28 &gt;= DATE(2026, 1, 1) - 30</f>
        <v>1</v>
      </c>
      <c r="X28" s="37" t="b">
        <f>DATA!$J28 &lt;= 800000</f>
        <v>1</v>
      </c>
      <c r="Y28" s="37" t="b">
        <f>AND(DATA!$R28 &gt;= DATE(2026,1,1) - 360, DATA!$R28 &lt;=DATE(2026,1,1))</f>
        <v>0</v>
      </c>
      <c r="Z28" s="37" t="b">
        <f>AND(DATA!$K28 &gt;= DATE(2026,1,1) - 60, DATA!$K28 &lt;= DATE(2026,1,1))</f>
        <v>0</v>
      </c>
      <c r="AA28" s="4" t="s">
        <v>36</v>
      </c>
    </row>
    <row r="29" spans="1:27" ht="15.75" customHeight="1">
      <c r="A29" s="4">
        <v>28</v>
      </c>
      <c r="B29" s="4" t="s">
        <v>27</v>
      </c>
      <c r="C29" s="4" t="s">
        <v>28</v>
      </c>
      <c r="D29" s="4" t="s">
        <v>108</v>
      </c>
      <c r="E29" s="4" t="s">
        <v>109</v>
      </c>
      <c r="F29" s="4" t="s">
        <v>69</v>
      </c>
      <c r="G29" s="4">
        <v>93721</v>
      </c>
      <c r="H29" s="4">
        <v>1</v>
      </c>
      <c r="I29" s="4">
        <v>6</v>
      </c>
      <c r="J29" s="5">
        <v>631000</v>
      </c>
      <c r="K29" s="6">
        <v>45961</v>
      </c>
      <c r="L29" s="5">
        <v>1370000</v>
      </c>
      <c r="M29" s="6">
        <v>45746</v>
      </c>
      <c r="N29" s="5">
        <v>980000</v>
      </c>
      <c r="O29" s="7">
        <v>0.46058394160583943</v>
      </c>
      <c r="P29" s="7">
        <v>0.64387755102040811</v>
      </c>
      <c r="Q29" s="4">
        <v>36</v>
      </c>
      <c r="R29" s="6">
        <v>45875</v>
      </c>
      <c r="S29" s="6">
        <v>45901</v>
      </c>
      <c r="T29" s="6">
        <v>46971</v>
      </c>
      <c r="U29" s="6">
        <v>46054</v>
      </c>
      <c r="V29" s="37" t="b">
        <f>DATA!$C29 = "First"</f>
        <v>1</v>
      </c>
      <c r="W29" s="37" t="b">
        <f>DATA!$U29 &gt;= DATE(2026, 1, 1) - 30</f>
        <v>1</v>
      </c>
      <c r="X29" s="37" t="b">
        <f>DATA!$J29 &lt;= 800000</f>
        <v>1</v>
      </c>
      <c r="Y29" s="37" t="b">
        <f>AND(DATA!$R29 &gt;= DATE(2026,1,1) - 360, DATA!$R29 &lt;=DATE(2026,1,1))</f>
        <v>1</v>
      </c>
      <c r="Z29" s="37" t="b">
        <f>AND(DATA!$K29 &gt;= DATE(2026,1,1) - 60, DATA!$K29 &lt;= DATE(2026,1,1))</f>
        <v>0</v>
      </c>
      <c r="AA29" s="4" t="s">
        <v>36</v>
      </c>
    </row>
    <row r="30" spans="1:27" ht="15.75" customHeight="1">
      <c r="A30" s="4">
        <v>29</v>
      </c>
      <c r="B30" s="4" t="s">
        <v>27</v>
      </c>
      <c r="C30" s="4" t="s">
        <v>28</v>
      </c>
      <c r="D30" s="4" t="s">
        <v>110</v>
      </c>
      <c r="E30" s="4" t="s">
        <v>111</v>
      </c>
      <c r="F30" s="4" t="s">
        <v>63</v>
      </c>
      <c r="G30" s="4">
        <v>31201</v>
      </c>
      <c r="H30" s="4">
        <v>1</v>
      </c>
      <c r="I30" s="4">
        <v>1</v>
      </c>
      <c r="J30" s="5">
        <v>233000</v>
      </c>
      <c r="K30" s="6">
        <v>46023</v>
      </c>
      <c r="L30" s="5">
        <v>400000</v>
      </c>
      <c r="M30" s="6">
        <v>45787</v>
      </c>
      <c r="N30" s="5">
        <v>373000</v>
      </c>
      <c r="O30" s="7">
        <v>0.58250000000000002</v>
      </c>
      <c r="P30" s="7">
        <v>0.62466487935656834</v>
      </c>
      <c r="Q30" s="4">
        <v>24</v>
      </c>
      <c r="R30" s="6">
        <v>45852</v>
      </c>
      <c r="S30" s="6">
        <v>45870</v>
      </c>
      <c r="T30" s="6">
        <v>46582</v>
      </c>
      <c r="U30" s="6">
        <v>46054</v>
      </c>
      <c r="V30" s="37" t="b">
        <f>DATA!$C30 = "First"</f>
        <v>1</v>
      </c>
      <c r="W30" s="37" t="b">
        <f>DATA!$U30 &gt;= DATE(2026, 1, 1) - 30</f>
        <v>1</v>
      </c>
      <c r="X30" s="37" t="b">
        <f>DATA!$J30 &lt;= 800000</f>
        <v>1</v>
      </c>
      <c r="Y30" s="37" t="b">
        <f>AND(DATA!$R30 &gt;= DATE(2026,1,1) - 360, DATA!$R30 &lt;=DATE(2026,1,1))</f>
        <v>1</v>
      </c>
      <c r="Z30" s="37" t="b">
        <f>AND(DATA!$K30 &gt;= DATE(2026,1,1) - 60, DATA!$K30 &lt;= DATE(2026,1,1))</f>
        <v>1</v>
      </c>
      <c r="AA30" s="4" t="s">
        <v>32</v>
      </c>
    </row>
    <row r="31" spans="1:27" ht="15.75" customHeight="1">
      <c r="A31" s="4">
        <v>30</v>
      </c>
      <c r="B31" s="4" t="s">
        <v>27</v>
      </c>
      <c r="C31" s="4" t="s">
        <v>28</v>
      </c>
      <c r="D31" s="4" t="s">
        <v>112</v>
      </c>
      <c r="E31" s="4" t="s">
        <v>113</v>
      </c>
      <c r="F31" s="4" t="s">
        <v>114</v>
      </c>
      <c r="G31" s="4">
        <v>2458</v>
      </c>
      <c r="H31" s="4">
        <v>1</v>
      </c>
      <c r="I31" s="4">
        <v>2</v>
      </c>
      <c r="J31" s="5">
        <v>262000</v>
      </c>
      <c r="K31" s="6">
        <v>45646</v>
      </c>
      <c r="L31" s="5">
        <v>616000</v>
      </c>
      <c r="M31" s="6">
        <v>45528</v>
      </c>
      <c r="N31" s="5">
        <v>475000</v>
      </c>
      <c r="O31" s="7">
        <v>0.42532467532467533</v>
      </c>
      <c r="P31" s="7">
        <v>0.55157894736842106</v>
      </c>
      <c r="Q31" s="4">
        <v>24</v>
      </c>
      <c r="R31" s="6">
        <v>45558</v>
      </c>
      <c r="S31" s="6">
        <v>45566</v>
      </c>
      <c r="T31" s="6">
        <v>46288</v>
      </c>
      <c r="U31" s="6">
        <v>46054</v>
      </c>
      <c r="V31" s="37" t="b">
        <f>DATA!$C31 = "First"</f>
        <v>1</v>
      </c>
      <c r="W31" s="37" t="b">
        <f>DATA!$U31 &gt;= DATE(2026, 1, 1) - 30</f>
        <v>1</v>
      </c>
      <c r="X31" s="37" t="b">
        <f>DATA!$J31 &lt;= 800000</f>
        <v>1</v>
      </c>
      <c r="Y31" s="37" t="b">
        <f>AND(DATA!$R31 &gt;= DATE(2026,1,1) - 360, DATA!$R31 &lt;=DATE(2026,1,1))</f>
        <v>0</v>
      </c>
      <c r="Z31" s="37" t="b">
        <f>AND(DATA!$K31 &gt;= DATE(2026,1,1) - 60, DATA!$K31 &lt;= DATE(2026,1,1))</f>
        <v>0</v>
      </c>
      <c r="AA31" s="4" t="s">
        <v>36</v>
      </c>
    </row>
    <row r="32" spans="1:27" ht="15.75" customHeight="1">
      <c r="A32" s="4">
        <v>31</v>
      </c>
      <c r="B32" s="4" t="s">
        <v>27</v>
      </c>
      <c r="C32" s="4" t="s">
        <v>28</v>
      </c>
      <c r="D32" s="4" t="s">
        <v>115</v>
      </c>
      <c r="E32" s="4" t="s">
        <v>116</v>
      </c>
      <c r="F32" s="4" t="s">
        <v>117</v>
      </c>
      <c r="G32" s="4">
        <v>14850</v>
      </c>
      <c r="H32" s="4">
        <v>1</v>
      </c>
      <c r="I32" s="4">
        <v>1</v>
      </c>
      <c r="J32" s="5">
        <v>734000</v>
      </c>
      <c r="K32" s="6">
        <v>45593</v>
      </c>
      <c r="L32" s="5">
        <v>1390000</v>
      </c>
      <c r="M32" s="6">
        <v>45220</v>
      </c>
      <c r="N32" s="5">
        <v>1130000</v>
      </c>
      <c r="O32" s="7">
        <v>0.52805755395683451</v>
      </c>
      <c r="P32" s="7">
        <v>0.64955752212389384</v>
      </c>
      <c r="Q32" s="4">
        <v>36</v>
      </c>
      <c r="R32" s="6">
        <v>45392</v>
      </c>
      <c r="S32" s="6">
        <v>45413</v>
      </c>
      <c r="T32" s="6">
        <v>46487</v>
      </c>
      <c r="U32" s="6">
        <v>46054</v>
      </c>
      <c r="V32" s="37" t="b">
        <f>DATA!$C32 = "First"</f>
        <v>1</v>
      </c>
      <c r="W32" s="37" t="b">
        <f>DATA!$U32 &gt;= DATE(2026, 1, 1) - 30</f>
        <v>1</v>
      </c>
      <c r="X32" s="37" t="b">
        <f>DATA!$J32 &lt;= 800000</f>
        <v>1</v>
      </c>
      <c r="Y32" s="37" t="b">
        <f>AND(DATA!$R32 &gt;= DATE(2026,1,1) - 360, DATA!$R32 &lt;=DATE(2026,1,1))</f>
        <v>0</v>
      </c>
      <c r="Z32" s="37" t="b">
        <f>AND(DATA!$K32 &gt;= DATE(2026,1,1) - 60, DATA!$K32 &lt;= DATE(2026,1,1))</f>
        <v>0</v>
      </c>
      <c r="AA32" s="4" t="s">
        <v>36</v>
      </c>
    </row>
    <row r="33" spans="1:27" ht="15.75" customHeight="1">
      <c r="A33" s="4">
        <v>32</v>
      </c>
      <c r="B33" s="4" t="s">
        <v>27</v>
      </c>
      <c r="C33" s="4" t="s">
        <v>28</v>
      </c>
      <c r="D33" s="4" t="s">
        <v>118</v>
      </c>
      <c r="E33" s="4" t="s">
        <v>119</v>
      </c>
      <c r="F33" s="4" t="s">
        <v>69</v>
      </c>
      <c r="G33" s="4">
        <v>92501</v>
      </c>
      <c r="H33" s="4">
        <v>1</v>
      </c>
      <c r="I33" s="4">
        <v>1</v>
      </c>
      <c r="J33" s="5">
        <v>473000</v>
      </c>
      <c r="K33" s="6">
        <v>45997</v>
      </c>
      <c r="L33" s="5">
        <v>1105000</v>
      </c>
      <c r="M33" s="6">
        <v>45694</v>
      </c>
      <c r="N33" s="5">
        <v>802000</v>
      </c>
      <c r="O33" s="7">
        <v>0.42805429864253391</v>
      </c>
      <c r="P33" s="7">
        <v>0.58977556109725682</v>
      </c>
      <c r="Q33" s="4">
        <v>60</v>
      </c>
      <c r="R33" s="6">
        <v>45820</v>
      </c>
      <c r="S33" s="6">
        <v>45839</v>
      </c>
      <c r="T33" s="6">
        <v>47646</v>
      </c>
      <c r="U33" s="6">
        <v>46054</v>
      </c>
      <c r="V33" s="37" t="b">
        <f>DATA!$C33 = "First"</f>
        <v>1</v>
      </c>
      <c r="W33" s="37" t="b">
        <f>DATA!$U33 &gt;= DATE(2026, 1, 1) - 30</f>
        <v>1</v>
      </c>
      <c r="X33" s="37" t="b">
        <f>DATA!$J33 &lt;= 800000</f>
        <v>1</v>
      </c>
      <c r="Y33" s="37" t="b">
        <f>AND(DATA!$R33 &gt;= DATE(2026,1,1) - 360, DATA!$R33 &lt;=DATE(2026,1,1))</f>
        <v>1</v>
      </c>
      <c r="Z33" s="37" t="b">
        <f>AND(DATA!$K33 &gt;= DATE(2026,1,1) - 60, DATA!$K33 &lt;= DATE(2026,1,1))</f>
        <v>1</v>
      </c>
      <c r="AA33" s="4" t="s">
        <v>32</v>
      </c>
    </row>
    <row r="34" spans="1:27" ht="15.75" customHeight="1">
      <c r="A34" s="4">
        <v>33</v>
      </c>
      <c r="B34" s="4" t="s">
        <v>27</v>
      </c>
      <c r="C34" s="4" t="s">
        <v>28</v>
      </c>
      <c r="D34" s="4" t="s">
        <v>120</v>
      </c>
      <c r="E34" s="4" t="s">
        <v>121</v>
      </c>
      <c r="F34" s="4" t="s">
        <v>69</v>
      </c>
      <c r="G34" s="4">
        <v>92805</v>
      </c>
      <c r="H34" s="4">
        <v>1</v>
      </c>
      <c r="I34" s="4">
        <v>1</v>
      </c>
      <c r="J34" s="5">
        <v>729000</v>
      </c>
      <c r="K34" s="6">
        <v>45861</v>
      </c>
      <c r="L34" s="5">
        <v>1256000</v>
      </c>
      <c r="M34" s="6">
        <v>45689</v>
      </c>
      <c r="N34" s="5">
        <v>1053000</v>
      </c>
      <c r="O34" s="7">
        <v>0.58041401273885351</v>
      </c>
      <c r="P34" s="7">
        <v>0.69230769230769229</v>
      </c>
      <c r="Q34" s="4">
        <v>24</v>
      </c>
      <c r="R34" s="6">
        <v>45807</v>
      </c>
      <c r="S34" s="6">
        <v>45809</v>
      </c>
      <c r="T34" s="6">
        <v>46537</v>
      </c>
      <c r="U34" s="6">
        <v>46054</v>
      </c>
      <c r="V34" s="37" t="b">
        <f>DATA!$C34 = "First"</f>
        <v>1</v>
      </c>
      <c r="W34" s="37" t="b">
        <f>DATA!$U34 &gt;= DATE(2026, 1, 1) - 30</f>
        <v>1</v>
      </c>
      <c r="X34" s="37" t="b">
        <f>DATA!$J34 &lt;= 800000</f>
        <v>1</v>
      </c>
      <c r="Y34" s="37" t="b">
        <f>AND(DATA!$R34 &gt;= DATE(2026,1,1) - 360, DATA!$R34 &lt;=DATE(2026,1,1))</f>
        <v>1</v>
      </c>
      <c r="Z34" s="37" t="b">
        <f>AND(DATA!$K34 &gt;= DATE(2026,1,1) - 60, DATA!$K34 &lt;= DATE(2026,1,1))</f>
        <v>0</v>
      </c>
      <c r="AA34" s="4" t="s">
        <v>36</v>
      </c>
    </row>
    <row r="35" spans="1:27" ht="15.75" customHeight="1">
      <c r="A35" s="4">
        <v>34</v>
      </c>
      <c r="B35" s="4" t="s">
        <v>27</v>
      </c>
      <c r="C35" s="4" t="s">
        <v>28</v>
      </c>
      <c r="D35" s="4" t="s">
        <v>122</v>
      </c>
      <c r="E35" s="4" t="s">
        <v>123</v>
      </c>
      <c r="F35" s="4" t="s">
        <v>80</v>
      </c>
      <c r="G35" s="4">
        <v>33040</v>
      </c>
      <c r="H35" s="4">
        <v>1</v>
      </c>
      <c r="I35" s="4">
        <v>1</v>
      </c>
      <c r="J35" s="5">
        <v>414000</v>
      </c>
      <c r="K35" s="6">
        <v>46029</v>
      </c>
      <c r="L35" s="5">
        <v>743000</v>
      </c>
      <c r="M35" s="6">
        <v>45927</v>
      </c>
      <c r="N35" s="5">
        <v>612000</v>
      </c>
      <c r="O35" s="7">
        <v>0.55720053835800809</v>
      </c>
      <c r="P35" s="7">
        <v>0.67647058823529416</v>
      </c>
      <c r="Q35" s="4">
        <v>24</v>
      </c>
      <c r="R35" s="6">
        <v>45997</v>
      </c>
      <c r="S35" s="6">
        <v>46023</v>
      </c>
      <c r="T35" s="6">
        <v>46727</v>
      </c>
      <c r="U35" s="6">
        <v>46054</v>
      </c>
      <c r="V35" s="37" t="b">
        <f>DATA!$C35 = "First"</f>
        <v>1</v>
      </c>
      <c r="W35" s="37" t="b">
        <f>DATA!$U35 &gt;= DATE(2026, 1, 1) - 30</f>
        <v>1</v>
      </c>
      <c r="X35" s="37" t="b">
        <f>DATA!$J35 &lt;= 800000</f>
        <v>1</v>
      </c>
      <c r="Y35" s="37" t="b">
        <f>AND(DATA!$R35 &gt;= DATE(2026,1,1) - 360, DATA!$R35 &lt;=DATE(2026,1,1))</f>
        <v>1</v>
      </c>
      <c r="Z35" s="37" t="b">
        <f>AND(DATA!$K35 &gt;= DATE(2026,1,1) - 60, DATA!$K35 &lt;= DATE(2026,1,1))</f>
        <v>0</v>
      </c>
      <c r="AA35" s="4" t="s">
        <v>32</v>
      </c>
    </row>
    <row r="36" spans="1:27" ht="15.75" customHeight="1">
      <c r="A36" s="4">
        <v>35</v>
      </c>
      <c r="B36" s="4" t="s">
        <v>27</v>
      </c>
      <c r="C36" s="4" t="s">
        <v>28</v>
      </c>
      <c r="D36" s="4" t="s">
        <v>124</v>
      </c>
      <c r="E36" s="4" t="s">
        <v>125</v>
      </c>
      <c r="F36" s="4" t="s">
        <v>69</v>
      </c>
      <c r="G36" s="4">
        <v>94559</v>
      </c>
      <c r="H36" s="4">
        <v>1</v>
      </c>
      <c r="I36" s="4">
        <v>1</v>
      </c>
      <c r="J36" s="5">
        <v>199000</v>
      </c>
      <c r="K36" s="6">
        <v>46025</v>
      </c>
      <c r="L36" s="5">
        <v>457000</v>
      </c>
      <c r="M36" s="6">
        <v>45977</v>
      </c>
      <c r="N36" s="5">
        <v>350000</v>
      </c>
      <c r="O36" s="7">
        <v>0.43544857768052514</v>
      </c>
      <c r="P36" s="7">
        <v>0.56857142857142862</v>
      </c>
      <c r="Q36" s="4">
        <v>24</v>
      </c>
      <c r="R36" s="6">
        <v>45992</v>
      </c>
      <c r="S36" s="6">
        <v>46023</v>
      </c>
      <c r="T36" s="6">
        <v>46722</v>
      </c>
      <c r="U36" s="6">
        <v>46054</v>
      </c>
      <c r="V36" s="37" t="b">
        <f>DATA!$C36 = "First"</f>
        <v>1</v>
      </c>
      <c r="W36" s="37" t="b">
        <f>DATA!$U36 &gt;= DATE(2026, 1, 1) - 30</f>
        <v>1</v>
      </c>
      <c r="X36" s="37" t="b">
        <f>DATA!$J36 &lt;= 800000</f>
        <v>1</v>
      </c>
      <c r="Y36" s="37" t="b">
        <f>AND(DATA!$R36 &gt;= DATE(2026,1,1) - 360, DATA!$R36 &lt;=DATE(2026,1,1))</f>
        <v>1</v>
      </c>
      <c r="Z36" s="37" t="b">
        <f>AND(DATA!$K36 &gt;= DATE(2026,1,1) - 60, DATA!$K36 &lt;= DATE(2026,1,1))</f>
        <v>0</v>
      </c>
      <c r="AA36" s="4" t="s">
        <v>32</v>
      </c>
    </row>
    <row r="37" spans="1:27" ht="15.75" customHeight="1">
      <c r="A37" s="4">
        <v>36</v>
      </c>
      <c r="B37" s="4" t="s">
        <v>27</v>
      </c>
      <c r="C37" s="4" t="s">
        <v>28</v>
      </c>
      <c r="D37" s="4" t="s">
        <v>126</v>
      </c>
      <c r="E37" s="4" t="s">
        <v>127</v>
      </c>
      <c r="F37" s="4" t="s">
        <v>69</v>
      </c>
      <c r="G37" s="4">
        <v>95476</v>
      </c>
      <c r="H37" s="4">
        <v>1</v>
      </c>
      <c r="I37" s="4">
        <v>1</v>
      </c>
      <c r="J37" s="5">
        <v>547000</v>
      </c>
      <c r="K37" s="6">
        <v>45667</v>
      </c>
      <c r="L37" s="5">
        <v>957000</v>
      </c>
      <c r="M37" s="6">
        <v>45387</v>
      </c>
      <c r="N37" s="5">
        <v>799000</v>
      </c>
      <c r="O37" s="7">
        <v>0.57157784743991635</v>
      </c>
      <c r="P37" s="7">
        <v>0.68460575719649563</v>
      </c>
      <c r="Q37" s="4">
        <v>36</v>
      </c>
      <c r="R37" s="6">
        <v>45519</v>
      </c>
      <c r="S37" s="6">
        <v>45536</v>
      </c>
      <c r="T37" s="6">
        <v>46614</v>
      </c>
      <c r="U37" s="6">
        <v>46054</v>
      </c>
      <c r="V37" s="37" t="b">
        <f>DATA!$C37 = "First"</f>
        <v>1</v>
      </c>
      <c r="W37" s="37" t="b">
        <f>DATA!$U37 &gt;= DATE(2026, 1, 1) - 30</f>
        <v>1</v>
      </c>
      <c r="X37" s="37" t="b">
        <f>DATA!$J37 &lt;= 800000</f>
        <v>1</v>
      </c>
      <c r="Y37" s="37" t="b">
        <f>AND(DATA!$R37 &gt;= DATE(2026,1,1) - 360, DATA!$R37 &lt;=DATE(2026,1,1))</f>
        <v>0</v>
      </c>
      <c r="Z37" s="37" t="b">
        <f>AND(DATA!$K37 &gt;= DATE(2026,1,1) - 60, DATA!$K37 &lt;= DATE(2026,1,1))</f>
        <v>0</v>
      </c>
      <c r="AA37" s="4" t="s">
        <v>36</v>
      </c>
    </row>
    <row r="38" spans="1:27" ht="15.75" customHeight="1">
      <c r="A38" s="4">
        <v>37</v>
      </c>
      <c r="B38" s="4" t="s">
        <v>27</v>
      </c>
      <c r="C38" s="4" t="s">
        <v>28</v>
      </c>
      <c r="D38" s="4" t="s">
        <v>128</v>
      </c>
      <c r="E38" s="4" t="s">
        <v>129</v>
      </c>
      <c r="F38" s="4" t="s">
        <v>130</v>
      </c>
      <c r="G38" s="4">
        <v>87501</v>
      </c>
      <c r="H38" s="4">
        <v>1</v>
      </c>
      <c r="I38" s="4">
        <v>39</v>
      </c>
      <c r="J38" s="5">
        <v>557000</v>
      </c>
      <c r="K38" s="6">
        <v>45620</v>
      </c>
      <c r="L38" s="5">
        <v>949000</v>
      </c>
      <c r="M38" s="6">
        <v>45417</v>
      </c>
      <c r="N38" s="5">
        <v>703000</v>
      </c>
      <c r="O38" s="7">
        <v>0.58693361433087465</v>
      </c>
      <c r="P38" s="7">
        <v>0.79231863442389761</v>
      </c>
      <c r="Q38" s="4">
        <v>24</v>
      </c>
      <c r="R38" s="6">
        <v>45578</v>
      </c>
      <c r="S38" s="6">
        <v>45597</v>
      </c>
      <c r="T38" s="6">
        <v>46308</v>
      </c>
      <c r="U38" s="6">
        <v>46054</v>
      </c>
      <c r="V38" s="37" t="b">
        <f>DATA!$C38 = "First"</f>
        <v>1</v>
      </c>
      <c r="W38" s="37" t="b">
        <f>DATA!$U38 &gt;= DATE(2026, 1, 1) - 30</f>
        <v>1</v>
      </c>
      <c r="X38" s="37" t="b">
        <f>DATA!$J38 &lt;= 800000</f>
        <v>1</v>
      </c>
      <c r="Y38" s="37" t="b">
        <f>AND(DATA!$R38 &gt;= DATE(2026,1,1) - 360, DATA!$R38 &lt;=DATE(2026,1,1))</f>
        <v>0</v>
      </c>
      <c r="Z38" s="37" t="b">
        <f>AND(DATA!$K38 &gt;= DATE(2026,1,1) - 60, DATA!$K38 &lt;= DATE(2026,1,1))</f>
        <v>0</v>
      </c>
      <c r="AA38" s="4" t="s">
        <v>36</v>
      </c>
    </row>
    <row r="39" spans="1:27" ht="15.75" customHeight="1">
      <c r="A39" s="4">
        <v>38</v>
      </c>
      <c r="B39" s="4" t="s">
        <v>27</v>
      </c>
      <c r="C39" s="4" t="s">
        <v>28</v>
      </c>
      <c r="D39" s="4" t="s">
        <v>131</v>
      </c>
      <c r="E39" s="4" t="s">
        <v>132</v>
      </c>
      <c r="F39" s="4" t="s">
        <v>60</v>
      </c>
      <c r="G39" s="4">
        <v>85364</v>
      </c>
      <c r="H39" s="4">
        <v>1</v>
      </c>
      <c r="I39" s="4">
        <v>1</v>
      </c>
      <c r="J39" s="5">
        <v>613000</v>
      </c>
      <c r="K39" s="6">
        <v>46022</v>
      </c>
      <c r="L39" s="5">
        <v>1197000</v>
      </c>
      <c r="M39" s="6">
        <v>45948</v>
      </c>
      <c r="N39" s="5">
        <v>1106000</v>
      </c>
      <c r="O39" s="7">
        <v>0.5121136173767753</v>
      </c>
      <c r="P39" s="7">
        <v>0.55424954792043402</v>
      </c>
      <c r="Q39" s="4">
        <v>30</v>
      </c>
      <c r="R39" s="6">
        <v>45990</v>
      </c>
      <c r="S39" s="6">
        <v>45992</v>
      </c>
      <c r="T39" s="6">
        <v>46902</v>
      </c>
      <c r="U39" s="6">
        <v>46054</v>
      </c>
      <c r="V39" s="37" t="b">
        <f>DATA!$C39 = "First"</f>
        <v>1</v>
      </c>
      <c r="W39" s="37" t="b">
        <f>DATA!$U39 &gt;= DATE(2026, 1, 1) - 30</f>
        <v>1</v>
      </c>
      <c r="X39" s="37" t="b">
        <f>DATA!$J39 &lt;= 800000</f>
        <v>1</v>
      </c>
      <c r="Y39" s="37" t="b">
        <f>AND(DATA!$R39 &gt;= DATE(2026,1,1) - 360, DATA!$R39 &lt;=DATE(2026,1,1))</f>
        <v>1</v>
      </c>
      <c r="Z39" s="37" t="b">
        <f>AND(DATA!$K39 &gt;= DATE(2026,1,1) - 60, DATA!$K39 &lt;= DATE(2026,1,1))</f>
        <v>1</v>
      </c>
      <c r="AA39" s="4" t="s">
        <v>32</v>
      </c>
    </row>
    <row r="40" spans="1:27" ht="15.75" customHeight="1">
      <c r="A40" s="4">
        <v>39</v>
      </c>
      <c r="B40" s="4" t="s">
        <v>27</v>
      </c>
      <c r="C40" s="4" t="s">
        <v>28</v>
      </c>
      <c r="D40" s="4" t="s">
        <v>133</v>
      </c>
      <c r="E40" s="4" t="s">
        <v>134</v>
      </c>
      <c r="F40" s="4" t="s">
        <v>135</v>
      </c>
      <c r="G40" s="4">
        <v>96720</v>
      </c>
      <c r="H40" s="4">
        <v>1</v>
      </c>
      <c r="I40" s="4">
        <v>1</v>
      </c>
      <c r="J40" s="5">
        <v>456000</v>
      </c>
      <c r="K40" s="6">
        <v>45811</v>
      </c>
      <c r="L40" s="5">
        <v>883000</v>
      </c>
      <c r="M40" s="6">
        <v>45683</v>
      </c>
      <c r="N40" s="5">
        <v>742000</v>
      </c>
      <c r="O40" s="7">
        <v>0.51642129105322765</v>
      </c>
      <c r="P40" s="7">
        <v>0.61455525606469008</v>
      </c>
      <c r="Q40" s="4">
        <v>24</v>
      </c>
      <c r="R40" s="6">
        <v>45739</v>
      </c>
      <c r="S40" s="6">
        <v>45748</v>
      </c>
      <c r="T40" s="6">
        <v>46469</v>
      </c>
      <c r="U40" s="6">
        <v>46054</v>
      </c>
      <c r="V40" s="37" t="b">
        <f>DATA!$C40 = "First"</f>
        <v>1</v>
      </c>
      <c r="W40" s="37" t="b">
        <f>DATA!$U40 &gt;= DATE(2026, 1, 1) - 30</f>
        <v>1</v>
      </c>
      <c r="X40" s="37" t="b">
        <f>DATA!$J40 &lt;= 800000</f>
        <v>1</v>
      </c>
      <c r="Y40" s="37" t="b">
        <f>AND(DATA!$R40 &gt;= DATE(2026,1,1) - 360, DATA!$R40 &lt;=DATE(2026,1,1))</f>
        <v>1</v>
      </c>
      <c r="Z40" s="37" t="b">
        <f>AND(DATA!$K40 &gt;= DATE(2026,1,1) - 60, DATA!$K40 &lt;= DATE(2026,1,1))</f>
        <v>0</v>
      </c>
      <c r="AA40" s="4" t="s">
        <v>36</v>
      </c>
    </row>
    <row r="41" spans="1:27" ht="15.75" customHeight="1">
      <c r="A41" s="4">
        <v>40</v>
      </c>
      <c r="B41" s="4" t="s">
        <v>27</v>
      </c>
      <c r="C41" s="4" t="s">
        <v>28</v>
      </c>
      <c r="D41" s="4" t="s">
        <v>136</v>
      </c>
      <c r="E41" s="4" t="s">
        <v>137</v>
      </c>
      <c r="F41" s="4" t="s">
        <v>80</v>
      </c>
      <c r="G41" s="4">
        <v>33134</v>
      </c>
      <c r="H41" s="4">
        <v>1</v>
      </c>
      <c r="I41" s="4">
        <v>20</v>
      </c>
      <c r="J41" s="5">
        <v>409000</v>
      </c>
      <c r="K41" s="6">
        <v>45814</v>
      </c>
      <c r="L41" s="5">
        <v>860000</v>
      </c>
      <c r="M41" s="6">
        <v>45531</v>
      </c>
      <c r="N41" s="5">
        <v>649000</v>
      </c>
      <c r="O41" s="7">
        <v>0.4755813953488372</v>
      </c>
      <c r="P41" s="7">
        <v>0.63020030816640982</v>
      </c>
      <c r="Q41" s="4">
        <v>48</v>
      </c>
      <c r="R41" s="6">
        <v>45711</v>
      </c>
      <c r="S41" s="6">
        <v>45717</v>
      </c>
      <c r="T41" s="6">
        <v>47172</v>
      </c>
      <c r="U41" s="6">
        <v>46054</v>
      </c>
      <c r="V41" s="37" t="b">
        <f>DATA!$C41 = "First"</f>
        <v>1</v>
      </c>
      <c r="W41" s="37" t="b">
        <f>DATA!$U41 &gt;= DATE(2026, 1, 1) - 30</f>
        <v>1</v>
      </c>
      <c r="X41" s="37" t="b">
        <f>DATA!$J41 &lt;= 800000</f>
        <v>1</v>
      </c>
      <c r="Y41" s="37" t="b">
        <f>AND(DATA!$R41 &gt;= DATE(2026,1,1) - 360, DATA!$R41 &lt;=DATE(2026,1,1))</f>
        <v>1</v>
      </c>
      <c r="Z41" s="37" t="b">
        <f>AND(DATA!$K41 &gt;= DATE(2026,1,1) - 60, DATA!$K41 &lt;= DATE(2026,1,1))</f>
        <v>0</v>
      </c>
      <c r="AA41" s="4" t="s">
        <v>36</v>
      </c>
    </row>
    <row r="42" spans="1:27" ht="15.75" customHeight="1">
      <c r="A42" s="4">
        <v>41</v>
      </c>
      <c r="B42" s="4" t="s">
        <v>27</v>
      </c>
      <c r="C42" s="4" t="s">
        <v>28</v>
      </c>
      <c r="D42" s="4" t="s">
        <v>138</v>
      </c>
      <c r="E42" s="4" t="s">
        <v>139</v>
      </c>
      <c r="F42" s="4" t="s">
        <v>135</v>
      </c>
      <c r="G42" s="4">
        <v>96732</v>
      </c>
      <c r="H42" s="4">
        <v>1</v>
      </c>
      <c r="I42" s="4">
        <v>5</v>
      </c>
      <c r="J42" s="5">
        <v>710000</v>
      </c>
      <c r="K42" s="6">
        <v>45841</v>
      </c>
      <c r="L42" s="5">
        <v>1024000</v>
      </c>
      <c r="M42" s="6">
        <v>45718</v>
      </c>
      <c r="N42" s="5">
        <v>927000</v>
      </c>
      <c r="O42" s="7">
        <v>0.693359375</v>
      </c>
      <c r="P42" s="7">
        <v>0.76591154261057171</v>
      </c>
      <c r="Q42" s="4">
        <v>36</v>
      </c>
      <c r="R42" s="6">
        <v>45756</v>
      </c>
      <c r="S42" s="6">
        <v>45778</v>
      </c>
      <c r="T42" s="6">
        <v>46852</v>
      </c>
      <c r="U42" s="6">
        <v>46054</v>
      </c>
      <c r="V42" s="37" t="b">
        <f>DATA!$C42 = "First"</f>
        <v>1</v>
      </c>
      <c r="W42" s="37" t="b">
        <f>DATA!$U42 &gt;= DATE(2026, 1, 1) - 30</f>
        <v>1</v>
      </c>
      <c r="X42" s="37" t="b">
        <f>DATA!$J42 &lt;= 800000</f>
        <v>1</v>
      </c>
      <c r="Y42" s="37" t="b">
        <f>AND(DATA!$R42 &gt;= DATE(2026,1,1) - 360, DATA!$R42 &lt;=DATE(2026,1,1))</f>
        <v>1</v>
      </c>
      <c r="Z42" s="37" t="b">
        <f>AND(DATA!$K42 &gt;= DATE(2026,1,1) - 60, DATA!$K42 &lt;= DATE(2026,1,1))</f>
        <v>0</v>
      </c>
      <c r="AA42" s="4" t="s">
        <v>36</v>
      </c>
    </row>
    <row r="43" spans="1:27" ht="15.75" customHeight="1">
      <c r="A43" s="4">
        <v>42</v>
      </c>
      <c r="B43" s="4" t="s">
        <v>27</v>
      </c>
      <c r="C43" s="4" t="s">
        <v>28</v>
      </c>
      <c r="D43" s="4" t="s">
        <v>140</v>
      </c>
      <c r="E43" s="4" t="s">
        <v>141</v>
      </c>
      <c r="F43" s="4" t="s">
        <v>142</v>
      </c>
      <c r="G43" s="4">
        <v>901</v>
      </c>
      <c r="H43" s="4">
        <v>1</v>
      </c>
      <c r="I43" s="4">
        <v>1</v>
      </c>
      <c r="J43" s="5">
        <v>715000</v>
      </c>
      <c r="K43" s="6">
        <v>45424</v>
      </c>
      <c r="L43" s="5">
        <v>1316000</v>
      </c>
      <c r="M43" s="6">
        <v>45350</v>
      </c>
      <c r="N43" s="5">
        <v>1003000</v>
      </c>
      <c r="O43" s="7">
        <v>0.54331306990881456</v>
      </c>
      <c r="P43" s="7">
        <v>0.71286141575274176</v>
      </c>
      <c r="Q43" s="4">
        <v>24</v>
      </c>
      <c r="R43" s="6">
        <v>45382</v>
      </c>
      <c r="S43" s="6">
        <v>45383</v>
      </c>
      <c r="T43" s="6">
        <v>46112</v>
      </c>
      <c r="U43" s="6">
        <v>46054</v>
      </c>
      <c r="V43" s="37" t="b">
        <f>DATA!$C43 = "First"</f>
        <v>1</v>
      </c>
      <c r="W43" s="37" t="b">
        <f>DATA!$U43 &gt;= DATE(2026, 1, 1) - 30</f>
        <v>1</v>
      </c>
      <c r="X43" s="37" t="b">
        <f>DATA!$J43 &lt;= 800000</f>
        <v>1</v>
      </c>
      <c r="Y43" s="37" t="b">
        <f>AND(DATA!$R43 &gt;= DATE(2026,1,1) - 360, DATA!$R43 &lt;=DATE(2026,1,1))</f>
        <v>0</v>
      </c>
      <c r="Z43" s="37" t="b">
        <f>AND(DATA!$K43 &gt;= DATE(2026,1,1) - 60, DATA!$K43 &lt;= DATE(2026,1,1))</f>
        <v>0</v>
      </c>
      <c r="AA43" s="4" t="s">
        <v>36</v>
      </c>
    </row>
    <row r="44" spans="1:27" ht="15.75" customHeight="1">
      <c r="A44" s="4">
        <v>43</v>
      </c>
      <c r="B44" s="4" t="s">
        <v>27</v>
      </c>
      <c r="C44" s="4" t="s">
        <v>28</v>
      </c>
      <c r="D44" s="4" t="s">
        <v>143</v>
      </c>
      <c r="E44" s="4" t="s">
        <v>144</v>
      </c>
      <c r="F44" s="4" t="s">
        <v>80</v>
      </c>
      <c r="G44" s="4">
        <v>33901</v>
      </c>
      <c r="H44" s="4">
        <v>1</v>
      </c>
      <c r="I44" s="4">
        <v>8</v>
      </c>
      <c r="J44" s="5">
        <v>631000</v>
      </c>
      <c r="K44" s="6">
        <v>46016</v>
      </c>
      <c r="L44" s="5">
        <v>944000</v>
      </c>
      <c r="M44" s="6">
        <v>45863</v>
      </c>
      <c r="N44" s="5">
        <v>764000</v>
      </c>
      <c r="O44" s="7">
        <v>0.66843220338983056</v>
      </c>
      <c r="P44" s="7">
        <v>0.8259162303664922</v>
      </c>
      <c r="Q44" s="4">
        <v>24</v>
      </c>
      <c r="R44" s="6">
        <v>45921</v>
      </c>
      <c r="S44" s="6">
        <v>45931</v>
      </c>
      <c r="T44" s="6">
        <v>46651</v>
      </c>
      <c r="U44" s="6">
        <v>46054</v>
      </c>
      <c r="V44" s="37" t="b">
        <f>DATA!$C44 = "First"</f>
        <v>1</v>
      </c>
      <c r="W44" s="37" t="b">
        <f>DATA!$U44 &gt;= DATE(2026, 1, 1) - 30</f>
        <v>1</v>
      </c>
      <c r="X44" s="37" t="b">
        <f>DATA!$J44 &lt;= 800000</f>
        <v>1</v>
      </c>
      <c r="Y44" s="37" t="b">
        <f>AND(DATA!$R44 &gt;= DATE(2026,1,1) - 360, DATA!$R44 &lt;=DATE(2026,1,1))</f>
        <v>1</v>
      </c>
      <c r="Z44" s="37" t="b">
        <f>AND(DATA!$K44 &gt;= DATE(2026,1,1) - 60, DATA!$K44 &lt;= DATE(2026,1,1))</f>
        <v>1</v>
      </c>
      <c r="AA44" s="4" t="s">
        <v>32</v>
      </c>
    </row>
    <row r="45" spans="1:27" ht="15.75" customHeight="1">
      <c r="A45" s="4">
        <v>44</v>
      </c>
      <c r="B45" s="4" t="s">
        <v>27</v>
      </c>
      <c r="C45" s="4" t="s">
        <v>28</v>
      </c>
      <c r="D45" s="4" t="s">
        <v>145</v>
      </c>
      <c r="E45" s="4" t="s">
        <v>146</v>
      </c>
      <c r="F45" s="4" t="s">
        <v>69</v>
      </c>
      <c r="G45" s="4">
        <v>92025</v>
      </c>
      <c r="H45" s="4">
        <v>1</v>
      </c>
      <c r="I45" s="4">
        <v>12</v>
      </c>
      <c r="J45" s="5">
        <v>233000</v>
      </c>
      <c r="K45" s="6">
        <v>45538</v>
      </c>
      <c r="L45" s="5">
        <v>412000</v>
      </c>
      <c r="M45" s="6">
        <v>45272</v>
      </c>
      <c r="N45" s="5">
        <v>320000</v>
      </c>
      <c r="O45" s="7">
        <v>0.56553398058252424</v>
      </c>
      <c r="P45" s="7">
        <v>0.72812500000000002</v>
      </c>
      <c r="Q45" s="4">
        <v>30</v>
      </c>
      <c r="R45" s="6">
        <v>45405</v>
      </c>
      <c r="S45" s="6">
        <v>45413</v>
      </c>
      <c r="T45" s="6">
        <v>46318</v>
      </c>
      <c r="U45" s="6">
        <v>46054</v>
      </c>
      <c r="V45" s="37" t="b">
        <f>DATA!$C45 = "First"</f>
        <v>1</v>
      </c>
      <c r="W45" s="37" t="b">
        <f>DATA!$U45 &gt;= DATE(2026, 1, 1) - 30</f>
        <v>1</v>
      </c>
      <c r="X45" s="37" t="b">
        <f>DATA!$J45 &lt;= 800000</f>
        <v>1</v>
      </c>
      <c r="Y45" s="37" t="b">
        <f>AND(DATA!$R45 &gt;= DATE(2026,1,1) - 360, DATA!$R45 &lt;=DATE(2026,1,1))</f>
        <v>0</v>
      </c>
      <c r="Z45" s="37" t="b">
        <f>AND(DATA!$K45 &gt;= DATE(2026,1,1) - 60, DATA!$K45 &lt;= DATE(2026,1,1))</f>
        <v>0</v>
      </c>
      <c r="AA45" s="4" t="s">
        <v>36</v>
      </c>
    </row>
    <row r="46" spans="1:27" ht="15.75" customHeight="1">
      <c r="A46" s="4">
        <v>45</v>
      </c>
      <c r="B46" s="4" t="s">
        <v>27</v>
      </c>
      <c r="C46" s="4" t="s">
        <v>28</v>
      </c>
      <c r="D46" s="4" t="s">
        <v>147</v>
      </c>
      <c r="E46" s="4" t="s">
        <v>148</v>
      </c>
      <c r="F46" s="4" t="s">
        <v>149</v>
      </c>
      <c r="G46" s="4">
        <v>4401</v>
      </c>
      <c r="H46" s="4">
        <v>1</v>
      </c>
      <c r="I46" s="4">
        <v>25</v>
      </c>
      <c r="J46" s="5">
        <v>363000</v>
      </c>
      <c r="K46" s="6">
        <v>45582</v>
      </c>
      <c r="L46" s="5">
        <v>534000</v>
      </c>
      <c r="M46" s="6">
        <v>45410</v>
      </c>
      <c r="N46" s="5">
        <v>502000</v>
      </c>
      <c r="O46" s="7">
        <v>0.6797752808988764</v>
      </c>
      <c r="P46" s="7">
        <v>0.72310756972111556</v>
      </c>
      <c r="Q46" s="4">
        <v>24</v>
      </c>
      <c r="R46" s="6">
        <v>45445</v>
      </c>
      <c r="S46" s="6">
        <v>45474</v>
      </c>
      <c r="T46" s="6">
        <v>46175</v>
      </c>
      <c r="U46" s="6">
        <v>46054</v>
      </c>
      <c r="V46" s="37" t="b">
        <f>DATA!$C46 = "First"</f>
        <v>1</v>
      </c>
      <c r="W46" s="37" t="b">
        <f>DATA!$U46 &gt;= DATE(2026, 1, 1) - 30</f>
        <v>1</v>
      </c>
      <c r="X46" s="37" t="b">
        <f>DATA!$J46 &lt;= 800000</f>
        <v>1</v>
      </c>
      <c r="Y46" s="37" t="b">
        <f>AND(DATA!$R46 &gt;= DATE(2026,1,1) - 360, DATA!$R46 &lt;=DATE(2026,1,1))</f>
        <v>0</v>
      </c>
      <c r="Z46" s="37" t="b">
        <f>AND(DATA!$K46 &gt;= DATE(2026,1,1) - 60, DATA!$K46 &lt;= DATE(2026,1,1))</f>
        <v>0</v>
      </c>
      <c r="AA46" s="4" t="s">
        <v>36</v>
      </c>
    </row>
    <row r="47" spans="1:27" ht="15.75" customHeight="1">
      <c r="A47" s="4">
        <v>46</v>
      </c>
      <c r="B47" s="4" t="s">
        <v>27</v>
      </c>
      <c r="C47" s="4" t="s">
        <v>28</v>
      </c>
      <c r="D47" s="4" t="s">
        <v>150</v>
      </c>
      <c r="E47" s="4" t="s">
        <v>151</v>
      </c>
      <c r="F47" s="4" t="s">
        <v>88</v>
      </c>
      <c r="G47" s="4">
        <v>59715</v>
      </c>
      <c r="H47" s="4">
        <v>1</v>
      </c>
      <c r="I47" s="4">
        <v>7</v>
      </c>
      <c r="J47" s="5">
        <v>585000</v>
      </c>
      <c r="K47" s="6">
        <v>46028</v>
      </c>
      <c r="L47" s="5">
        <v>1140000</v>
      </c>
      <c r="M47" s="6">
        <v>45965</v>
      </c>
      <c r="N47" s="5">
        <v>828000</v>
      </c>
      <c r="O47" s="7">
        <v>0.51315789473684215</v>
      </c>
      <c r="P47" s="7">
        <v>0.70652173913043481</v>
      </c>
      <c r="Q47" s="4">
        <v>30</v>
      </c>
      <c r="R47" s="6">
        <v>45996</v>
      </c>
      <c r="S47" s="6">
        <v>46023</v>
      </c>
      <c r="T47" s="6">
        <v>46909</v>
      </c>
      <c r="U47" s="6">
        <v>46054</v>
      </c>
      <c r="V47" s="37" t="b">
        <f>DATA!$C47 = "First"</f>
        <v>1</v>
      </c>
      <c r="W47" s="37" t="b">
        <f>DATA!$U47 &gt;= DATE(2026, 1, 1) - 30</f>
        <v>1</v>
      </c>
      <c r="X47" s="37" t="b">
        <f>DATA!$J47 &lt;= 800000</f>
        <v>1</v>
      </c>
      <c r="Y47" s="37" t="b">
        <f>AND(DATA!$R47 &gt;= DATE(2026,1,1) - 360, DATA!$R47 &lt;=DATE(2026,1,1))</f>
        <v>1</v>
      </c>
      <c r="Z47" s="37" t="b">
        <f>AND(DATA!$K47 &gt;= DATE(2026,1,1) - 60, DATA!$K47 &lt;= DATE(2026,1,1))</f>
        <v>0</v>
      </c>
      <c r="AA47" s="4" t="s">
        <v>32</v>
      </c>
    </row>
    <row r="48" spans="1:27" ht="15.75" customHeight="1">
      <c r="A48" s="4">
        <v>47</v>
      </c>
      <c r="B48" s="4" t="s">
        <v>27</v>
      </c>
      <c r="C48" s="4" t="s">
        <v>28</v>
      </c>
      <c r="D48" s="4" t="s">
        <v>152</v>
      </c>
      <c r="E48" s="4" t="s">
        <v>153</v>
      </c>
      <c r="F48" s="4" t="s">
        <v>69</v>
      </c>
      <c r="G48" s="4">
        <v>95076</v>
      </c>
      <c r="H48" s="4">
        <v>1</v>
      </c>
      <c r="I48" s="4">
        <v>11</v>
      </c>
      <c r="J48" s="5">
        <v>386000</v>
      </c>
      <c r="K48" s="6">
        <v>45677</v>
      </c>
      <c r="L48" s="5">
        <v>836000</v>
      </c>
      <c r="M48" s="6">
        <v>45454</v>
      </c>
      <c r="N48" s="5">
        <v>655000</v>
      </c>
      <c r="O48" s="7">
        <v>0.46172248803827753</v>
      </c>
      <c r="P48" s="7">
        <v>0.58931297709923669</v>
      </c>
      <c r="Q48" s="4">
        <v>48</v>
      </c>
      <c r="R48" s="6">
        <v>45567</v>
      </c>
      <c r="S48" s="6">
        <v>45597</v>
      </c>
      <c r="T48" s="6">
        <v>47028</v>
      </c>
      <c r="U48" s="6">
        <v>46054</v>
      </c>
      <c r="V48" s="37" t="b">
        <f>DATA!$C48 = "First"</f>
        <v>1</v>
      </c>
      <c r="W48" s="37" t="b">
        <f>DATA!$U48 &gt;= DATE(2026, 1, 1) - 30</f>
        <v>1</v>
      </c>
      <c r="X48" s="37" t="b">
        <f>DATA!$J48 &lt;= 800000</f>
        <v>1</v>
      </c>
      <c r="Y48" s="37" t="b">
        <f>AND(DATA!$R48 &gt;= DATE(2026,1,1) - 360, DATA!$R48 &lt;=DATE(2026,1,1))</f>
        <v>0</v>
      </c>
      <c r="Z48" s="37" t="b">
        <f>AND(DATA!$K48 &gt;= DATE(2026,1,1) - 60, DATA!$K48 &lt;= DATE(2026,1,1))</f>
        <v>0</v>
      </c>
      <c r="AA48" s="4" t="s">
        <v>36</v>
      </c>
    </row>
    <row r="49" spans="1:27" ht="15.75" customHeight="1">
      <c r="A49" s="4">
        <v>48</v>
      </c>
      <c r="B49" s="4" t="s">
        <v>27</v>
      </c>
      <c r="C49" s="4" t="s">
        <v>28</v>
      </c>
      <c r="D49" s="4" t="s">
        <v>154</v>
      </c>
      <c r="E49" s="4" t="s">
        <v>155</v>
      </c>
      <c r="F49" s="4" t="s">
        <v>45</v>
      </c>
      <c r="G49" s="4">
        <v>97520</v>
      </c>
      <c r="H49" s="4">
        <v>1</v>
      </c>
      <c r="I49" s="4">
        <v>12</v>
      </c>
      <c r="J49" s="5">
        <v>529000</v>
      </c>
      <c r="K49" s="6">
        <v>45445</v>
      </c>
      <c r="L49" s="5">
        <v>897000</v>
      </c>
      <c r="M49" s="6">
        <v>45219</v>
      </c>
      <c r="N49" s="5">
        <v>719000</v>
      </c>
      <c r="O49" s="7">
        <v>0.58974358974358976</v>
      </c>
      <c r="P49" s="7">
        <v>0.73574408901251742</v>
      </c>
      <c r="Q49" s="4">
        <v>24</v>
      </c>
      <c r="R49" s="6">
        <v>45397</v>
      </c>
      <c r="S49" s="6">
        <v>45413</v>
      </c>
      <c r="T49" s="6">
        <v>46127</v>
      </c>
      <c r="U49" s="6">
        <v>46054</v>
      </c>
      <c r="V49" s="37" t="b">
        <f>DATA!$C49 = "First"</f>
        <v>1</v>
      </c>
      <c r="W49" s="37" t="b">
        <f>DATA!$U49 &gt;= DATE(2026, 1, 1) - 30</f>
        <v>1</v>
      </c>
      <c r="X49" s="37" t="b">
        <f>DATA!$J49 &lt;= 800000</f>
        <v>1</v>
      </c>
      <c r="Y49" s="37" t="b">
        <f>AND(DATA!$R49 &gt;= DATE(2026,1,1) - 360, DATA!$R49 &lt;=DATE(2026,1,1))</f>
        <v>0</v>
      </c>
      <c r="Z49" s="37" t="b">
        <f>AND(DATA!$K49 &gt;= DATE(2026,1,1) - 60, DATA!$K49 &lt;= DATE(2026,1,1))</f>
        <v>0</v>
      </c>
      <c r="AA49" s="4" t="s">
        <v>36</v>
      </c>
    </row>
    <row r="50" spans="1:27" ht="15.75" customHeight="1">
      <c r="A50" s="4">
        <v>49</v>
      </c>
      <c r="B50" s="4" t="s">
        <v>27</v>
      </c>
      <c r="C50" s="4" t="s">
        <v>28</v>
      </c>
      <c r="D50" s="4" t="s">
        <v>156</v>
      </c>
      <c r="E50" s="4" t="s">
        <v>157</v>
      </c>
      <c r="F50" s="4" t="s">
        <v>114</v>
      </c>
      <c r="G50" s="4">
        <v>2360</v>
      </c>
      <c r="H50" s="4">
        <v>1</v>
      </c>
      <c r="I50" s="4">
        <v>4</v>
      </c>
      <c r="J50" s="5">
        <v>484000</v>
      </c>
      <c r="K50" s="6">
        <v>46015</v>
      </c>
      <c r="L50" s="5">
        <v>1057000</v>
      </c>
      <c r="M50" s="6">
        <v>45747</v>
      </c>
      <c r="N50" s="5">
        <v>768000</v>
      </c>
      <c r="O50" s="7">
        <v>0.45789971617786185</v>
      </c>
      <c r="P50" s="7">
        <v>0.63020833333333337</v>
      </c>
      <c r="Q50" s="4">
        <v>24</v>
      </c>
      <c r="R50" s="6">
        <v>45873</v>
      </c>
      <c r="S50" s="6">
        <v>45901</v>
      </c>
      <c r="T50" s="6">
        <v>46603</v>
      </c>
      <c r="U50" s="6">
        <v>46054</v>
      </c>
      <c r="V50" s="37" t="b">
        <f>DATA!$C50 = "First"</f>
        <v>1</v>
      </c>
      <c r="W50" s="37" t="b">
        <f>DATA!$U50 &gt;= DATE(2026, 1, 1) - 30</f>
        <v>1</v>
      </c>
      <c r="X50" s="37" t="b">
        <f>DATA!$J50 &lt;= 800000</f>
        <v>1</v>
      </c>
      <c r="Y50" s="37" t="b">
        <f>AND(DATA!$R50 &gt;= DATE(2026,1,1) - 360, DATA!$R50 &lt;=DATE(2026,1,1))</f>
        <v>1</v>
      </c>
      <c r="Z50" s="37" t="b">
        <f>AND(DATA!$K50 &gt;= DATE(2026,1,1) - 60, DATA!$K50 &lt;= DATE(2026,1,1))</f>
        <v>1</v>
      </c>
      <c r="AA50" s="4" t="s">
        <v>32</v>
      </c>
    </row>
    <row r="51" spans="1:27" ht="15.75" customHeight="1">
      <c r="A51" s="4">
        <v>50</v>
      </c>
      <c r="B51" s="4" t="s">
        <v>27</v>
      </c>
      <c r="C51" s="4" t="s">
        <v>28</v>
      </c>
      <c r="D51" s="4" t="s">
        <v>158</v>
      </c>
      <c r="E51" s="4" t="s">
        <v>159</v>
      </c>
      <c r="F51" s="4" t="s">
        <v>69</v>
      </c>
      <c r="G51" s="4">
        <v>95616</v>
      </c>
      <c r="H51" s="4">
        <v>1</v>
      </c>
      <c r="I51" s="4">
        <v>1</v>
      </c>
      <c r="J51" s="5">
        <v>323000</v>
      </c>
      <c r="K51" s="6">
        <v>45759</v>
      </c>
      <c r="L51" s="5">
        <v>726000</v>
      </c>
      <c r="M51" s="6">
        <v>45487</v>
      </c>
      <c r="N51" s="5">
        <v>541000</v>
      </c>
      <c r="O51" s="7">
        <v>0.44490358126721763</v>
      </c>
      <c r="P51" s="7">
        <v>0.59704251386321627</v>
      </c>
      <c r="Q51" s="4">
        <v>36</v>
      </c>
      <c r="R51" s="6">
        <v>45573</v>
      </c>
      <c r="S51" s="6">
        <v>45597</v>
      </c>
      <c r="T51" s="6">
        <v>46668</v>
      </c>
      <c r="U51" s="6">
        <v>46054</v>
      </c>
      <c r="V51" s="37" t="b">
        <f>DATA!$C51 = "First"</f>
        <v>1</v>
      </c>
      <c r="W51" s="37" t="b">
        <f>DATA!$U51 &gt;= DATE(2026, 1, 1) - 30</f>
        <v>1</v>
      </c>
      <c r="X51" s="37" t="b">
        <f>DATA!$J51 &lt;= 800000</f>
        <v>1</v>
      </c>
      <c r="Y51" s="37" t="b">
        <f>AND(DATA!$R51 &gt;= DATE(2026,1,1) - 360, DATA!$R51 &lt;=DATE(2026,1,1))</f>
        <v>0</v>
      </c>
      <c r="Z51" s="37" t="b">
        <f>AND(DATA!$K51 &gt;= DATE(2026,1,1) - 60, DATA!$K51 &lt;= DATE(2026,1,1))</f>
        <v>0</v>
      </c>
      <c r="AA51" s="4" t="s">
        <v>36</v>
      </c>
    </row>
    <row r="52" spans="1:27" ht="15.75" customHeight="1">
      <c r="A52" s="4">
        <v>51</v>
      </c>
      <c r="B52" s="4" t="s">
        <v>27</v>
      </c>
      <c r="C52" s="4" t="s">
        <v>28</v>
      </c>
      <c r="D52" s="4" t="s">
        <v>160</v>
      </c>
      <c r="E52" s="4" t="s">
        <v>161</v>
      </c>
      <c r="F52" s="4" t="s">
        <v>69</v>
      </c>
      <c r="G52" s="4">
        <v>95928</v>
      </c>
      <c r="H52" s="4">
        <v>1</v>
      </c>
      <c r="I52" s="4">
        <v>1</v>
      </c>
      <c r="J52" s="5">
        <v>194000</v>
      </c>
      <c r="K52" s="6">
        <v>46024</v>
      </c>
      <c r="L52" s="5">
        <v>321000</v>
      </c>
      <c r="M52" s="6">
        <v>45947</v>
      </c>
      <c r="N52" s="5">
        <v>258000</v>
      </c>
      <c r="O52" s="7">
        <v>0.60436137071651086</v>
      </c>
      <c r="P52" s="7">
        <v>0.75193798449612403</v>
      </c>
      <c r="Q52" s="4">
        <v>24</v>
      </c>
      <c r="R52" s="6">
        <v>45992</v>
      </c>
      <c r="S52" s="6">
        <v>46023</v>
      </c>
      <c r="T52" s="6">
        <v>46722</v>
      </c>
      <c r="U52" s="6">
        <v>46054</v>
      </c>
      <c r="V52" s="37" t="b">
        <f>DATA!$C52 = "First"</f>
        <v>1</v>
      </c>
      <c r="W52" s="37" t="b">
        <f>DATA!$U52 &gt;= DATE(2026, 1, 1) - 30</f>
        <v>1</v>
      </c>
      <c r="X52" s="37" t="b">
        <f>DATA!$J52 &lt;= 800000</f>
        <v>1</v>
      </c>
      <c r="Y52" s="37" t="b">
        <f>AND(DATA!$R52 &gt;= DATE(2026,1,1) - 360, DATA!$R52 &lt;=DATE(2026,1,1))</f>
        <v>1</v>
      </c>
      <c r="Z52" s="37" t="b">
        <f>AND(DATA!$K52 &gt;= DATE(2026,1,1) - 60, DATA!$K52 &lt;= DATE(2026,1,1))</f>
        <v>0</v>
      </c>
      <c r="AA52" s="4" t="s">
        <v>32</v>
      </c>
    </row>
    <row r="53" spans="1:27" ht="15.75" customHeight="1">
      <c r="A53" s="4">
        <v>52</v>
      </c>
      <c r="B53" s="4" t="s">
        <v>27</v>
      </c>
      <c r="C53" s="4" t="s">
        <v>28</v>
      </c>
      <c r="D53" s="4" t="s">
        <v>162</v>
      </c>
      <c r="E53" s="4" t="s">
        <v>163</v>
      </c>
      <c r="F53" s="4" t="s">
        <v>164</v>
      </c>
      <c r="G53" s="4">
        <v>7102</v>
      </c>
      <c r="H53" s="4">
        <v>1</v>
      </c>
      <c r="I53" s="4">
        <v>5</v>
      </c>
      <c r="J53" s="5">
        <v>676000</v>
      </c>
      <c r="K53" s="6">
        <v>45695</v>
      </c>
      <c r="L53" s="5">
        <v>1444000</v>
      </c>
      <c r="M53" s="6">
        <v>45442</v>
      </c>
      <c r="N53" s="5">
        <v>1161000</v>
      </c>
      <c r="O53" s="7">
        <v>0.46814404432132967</v>
      </c>
      <c r="P53" s="7">
        <v>0.58225667527993108</v>
      </c>
      <c r="Q53" s="4">
        <v>36</v>
      </c>
      <c r="R53" s="6">
        <v>45593</v>
      </c>
      <c r="S53" s="6">
        <v>45597</v>
      </c>
      <c r="T53" s="6">
        <v>46688</v>
      </c>
      <c r="U53" s="6">
        <v>46054</v>
      </c>
      <c r="V53" s="37" t="b">
        <f>DATA!$C53 = "First"</f>
        <v>1</v>
      </c>
      <c r="W53" s="37" t="b">
        <f>DATA!$U53 &gt;= DATE(2026, 1, 1) - 30</f>
        <v>1</v>
      </c>
      <c r="X53" s="37" t="b">
        <f>DATA!$J53 &lt;= 800000</f>
        <v>1</v>
      </c>
      <c r="Y53" s="37" t="b">
        <f>AND(DATA!$R53 &gt;= DATE(2026,1,1) - 360, DATA!$R53 &lt;=DATE(2026,1,1))</f>
        <v>0</v>
      </c>
      <c r="Z53" s="37" t="b">
        <f>AND(DATA!$K53 &gt;= DATE(2026,1,1) - 60, DATA!$K53 &lt;= DATE(2026,1,1))</f>
        <v>0</v>
      </c>
      <c r="AA53" s="4" t="s">
        <v>36</v>
      </c>
    </row>
    <row r="54" spans="1:27" ht="15.75" customHeight="1">
      <c r="A54" s="4">
        <v>53</v>
      </c>
      <c r="B54" s="4" t="s">
        <v>27</v>
      </c>
      <c r="C54" s="4" t="s">
        <v>28</v>
      </c>
      <c r="D54" s="4" t="s">
        <v>165</v>
      </c>
      <c r="E54" s="4" t="s">
        <v>166</v>
      </c>
      <c r="F54" s="4" t="s">
        <v>167</v>
      </c>
      <c r="G54" s="4">
        <v>55802</v>
      </c>
      <c r="H54" s="4">
        <v>1</v>
      </c>
      <c r="I54" s="4">
        <v>14</v>
      </c>
      <c r="J54" s="5">
        <v>642000</v>
      </c>
      <c r="K54" s="6">
        <v>46004</v>
      </c>
      <c r="L54" s="5">
        <v>1270000</v>
      </c>
      <c r="M54" s="6">
        <v>45815</v>
      </c>
      <c r="N54" s="5">
        <v>984000</v>
      </c>
      <c r="O54" s="7">
        <v>0.50551181102362208</v>
      </c>
      <c r="P54" s="7">
        <v>0.65243902439024393</v>
      </c>
      <c r="Q54" s="4">
        <v>36</v>
      </c>
      <c r="R54" s="6">
        <v>45942</v>
      </c>
      <c r="S54" s="6">
        <v>45962</v>
      </c>
      <c r="T54" s="6">
        <v>47038</v>
      </c>
      <c r="U54" s="6">
        <v>46054</v>
      </c>
      <c r="V54" s="37" t="b">
        <f>DATA!$C54 = "First"</f>
        <v>1</v>
      </c>
      <c r="W54" s="37" t="b">
        <f>DATA!$U54 &gt;= DATE(2026, 1, 1) - 30</f>
        <v>1</v>
      </c>
      <c r="X54" s="37" t="b">
        <f>DATA!$J54 &lt;= 800000</f>
        <v>1</v>
      </c>
      <c r="Y54" s="37" t="b">
        <f>AND(DATA!$R54 &gt;= DATE(2026,1,1) - 360, DATA!$R54 &lt;=DATE(2026,1,1))</f>
        <v>1</v>
      </c>
      <c r="Z54" s="37" t="b">
        <f>AND(DATA!$K54 &gt;= DATE(2026,1,1) - 60, DATA!$K54 &lt;= DATE(2026,1,1))</f>
        <v>1</v>
      </c>
      <c r="AA54" s="4" t="s">
        <v>32</v>
      </c>
    </row>
    <row r="55" spans="1:27" ht="15.75" customHeight="1">
      <c r="A55" s="4">
        <v>54</v>
      </c>
      <c r="B55" s="4" t="s">
        <v>27</v>
      </c>
      <c r="C55" s="4" t="s">
        <v>28</v>
      </c>
      <c r="D55" s="4" t="s">
        <v>168</v>
      </c>
      <c r="E55" s="4" t="s">
        <v>169</v>
      </c>
      <c r="F55" s="4" t="s">
        <v>45</v>
      </c>
      <c r="G55" s="4">
        <v>97401</v>
      </c>
      <c r="H55" s="4">
        <v>1</v>
      </c>
      <c r="I55" s="4">
        <v>1</v>
      </c>
      <c r="J55" s="5">
        <v>968000</v>
      </c>
      <c r="K55" s="6">
        <v>45923</v>
      </c>
      <c r="L55" s="5">
        <v>1257000</v>
      </c>
      <c r="M55" s="6">
        <v>45707</v>
      </c>
      <c r="N55" s="5">
        <v>1177000</v>
      </c>
      <c r="O55" s="7">
        <v>0.77008750994431185</v>
      </c>
      <c r="P55" s="7">
        <v>0.82242990654205606</v>
      </c>
      <c r="Q55" s="4">
        <v>48</v>
      </c>
      <c r="R55" s="6">
        <v>45823</v>
      </c>
      <c r="S55" s="6">
        <v>45839</v>
      </c>
      <c r="T55" s="6">
        <v>47284</v>
      </c>
      <c r="U55" s="6">
        <v>46054</v>
      </c>
      <c r="V55" s="37" t="b">
        <f>DATA!$C55 = "First"</f>
        <v>1</v>
      </c>
      <c r="W55" s="37" t="b">
        <f>DATA!$U55 &gt;= DATE(2026, 1, 1) - 30</f>
        <v>1</v>
      </c>
      <c r="X55" s="37" t="b">
        <f>DATA!$J55 &lt;= 800000</f>
        <v>0</v>
      </c>
      <c r="Y55" s="37" t="b">
        <f>AND(DATA!$R55 &gt;= DATE(2026,1,1) - 360, DATA!$R55 &lt;=DATE(2026,1,1))</f>
        <v>1</v>
      </c>
      <c r="Z55" s="37" t="b">
        <f>AND(DATA!$K55 &gt;= DATE(2026,1,1) - 60, DATA!$K55 &lt;= DATE(2026,1,1))</f>
        <v>0</v>
      </c>
      <c r="AA55" s="4" t="s">
        <v>36</v>
      </c>
    </row>
    <row r="56" spans="1:27" ht="15.75" customHeight="1">
      <c r="A56" s="4">
        <v>55</v>
      </c>
      <c r="B56" s="4" t="s">
        <v>27</v>
      </c>
      <c r="C56" s="4" t="s">
        <v>28</v>
      </c>
      <c r="D56" s="4" t="s">
        <v>170</v>
      </c>
      <c r="E56" s="4" t="s">
        <v>171</v>
      </c>
      <c r="F56" s="4" t="s">
        <v>172</v>
      </c>
      <c r="G56" s="4">
        <v>58102</v>
      </c>
      <c r="H56" s="4">
        <v>1</v>
      </c>
      <c r="I56" s="4">
        <v>1</v>
      </c>
      <c r="J56" s="5">
        <v>462000</v>
      </c>
      <c r="K56" s="6">
        <v>45439</v>
      </c>
      <c r="L56" s="5">
        <v>752000</v>
      </c>
      <c r="M56" s="6">
        <v>45188</v>
      </c>
      <c r="N56" s="5">
        <v>591000</v>
      </c>
      <c r="O56" s="7">
        <v>0.61436170212765961</v>
      </c>
      <c r="P56" s="7">
        <v>0.78172588832487311</v>
      </c>
      <c r="Q56" s="4">
        <v>36</v>
      </c>
      <c r="R56" s="6">
        <v>45368</v>
      </c>
      <c r="S56" s="6">
        <v>45383</v>
      </c>
      <c r="T56" s="6">
        <v>46463</v>
      </c>
      <c r="U56" s="6">
        <v>46054</v>
      </c>
      <c r="V56" s="37" t="b">
        <f>DATA!$C56 = "First"</f>
        <v>1</v>
      </c>
      <c r="W56" s="37" t="b">
        <f>DATA!$U56 &gt;= DATE(2026, 1, 1) - 30</f>
        <v>1</v>
      </c>
      <c r="X56" s="37" t="b">
        <f>DATA!$J56 &lt;= 800000</f>
        <v>1</v>
      </c>
      <c r="Y56" s="37" t="b">
        <f>AND(DATA!$R56 &gt;= DATE(2026,1,1) - 360, DATA!$R56 &lt;=DATE(2026,1,1))</f>
        <v>0</v>
      </c>
      <c r="Z56" s="37" t="b">
        <f>AND(DATA!$K56 &gt;= DATE(2026,1,1) - 60, DATA!$K56 &lt;= DATE(2026,1,1))</f>
        <v>0</v>
      </c>
      <c r="AA56" s="4" t="s">
        <v>36</v>
      </c>
    </row>
    <row r="57" spans="1:27" ht="15.75" customHeight="1">
      <c r="A57" s="4">
        <v>56</v>
      </c>
      <c r="B57" s="4" t="s">
        <v>27</v>
      </c>
      <c r="C57" s="4" t="s">
        <v>28</v>
      </c>
      <c r="D57" s="4" t="s">
        <v>173</v>
      </c>
      <c r="E57" s="4" t="s">
        <v>174</v>
      </c>
      <c r="F57" s="4" t="s">
        <v>88</v>
      </c>
      <c r="G57" s="4">
        <v>59937</v>
      </c>
      <c r="H57" s="4">
        <v>1</v>
      </c>
      <c r="I57" s="4">
        <v>1</v>
      </c>
      <c r="J57" s="5">
        <v>659000</v>
      </c>
      <c r="K57" s="6">
        <v>45981</v>
      </c>
      <c r="L57" s="5">
        <v>1024000</v>
      </c>
      <c r="M57" s="6">
        <v>45736</v>
      </c>
      <c r="N57" s="5">
        <v>972000</v>
      </c>
      <c r="O57" s="7">
        <v>0.6435546875</v>
      </c>
      <c r="P57" s="7">
        <v>0.67798353909465026</v>
      </c>
      <c r="Q57" s="4">
        <v>24</v>
      </c>
      <c r="R57" s="6">
        <v>45775</v>
      </c>
      <c r="S57" s="6">
        <v>45778</v>
      </c>
      <c r="T57" s="6">
        <v>46505</v>
      </c>
      <c r="U57" s="6">
        <v>46054</v>
      </c>
      <c r="V57" s="37" t="b">
        <f>DATA!$C57 = "First"</f>
        <v>1</v>
      </c>
      <c r="W57" s="37" t="b">
        <f>DATA!$U57 &gt;= DATE(2026, 1, 1) - 30</f>
        <v>1</v>
      </c>
      <c r="X57" s="37" t="b">
        <f>DATA!$J57 &lt;= 800000</f>
        <v>1</v>
      </c>
      <c r="Y57" s="37" t="b">
        <f>AND(DATA!$R57 &gt;= DATE(2026,1,1) - 360, DATA!$R57 &lt;=DATE(2026,1,1))</f>
        <v>1</v>
      </c>
      <c r="Z57" s="37" t="b">
        <f>AND(DATA!$K57 &gt;= DATE(2026,1,1) - 60, DATA!$K57 &lt;= DATE(2026,1,1))</f>
        <v>1</v>
      </c>
      <c r="AA57" s="4" t="s">
        <v>32</v>
      </c>
    </row>
    <row r="58" spans="1:27" ht="15.75" customHeight="1">
      <c r="A58" s="4">
        <v>57</v>
      </c>
      <c r="B58" s="4" t="s">
        <v>27</v>
      </c>
      <c r="C58" s="4" t="s">
        <v>28</v>
      </c>
      <c r="D58" s="4" t="s">
        <v>175</v>
      </c>
      <c r="E58" s="4" t="s">
        <v>176</v>
      </c>
      <c r="F58" s="4" t="s">
        <v>69</v>
      </c>
      <c r="G58" s="4">
        <v>94704</v>
      </c>
      <c r="H58" s="4">
        <v>1</v>
      </c>
      <c r="I58" s="4">
        <v>1</v>
      </c>
      <c r="J58" s="5">
        <v>229000</v>
      </c>
      <c r="K58" s="6">
        <v>45615</v>
      </c>
      <c r="L58" s="5">
        <v>359000</v>
      </c>
      <c r="M58" s="6">
        <v>45434</v>
      </c>
      <c r="N58" s="5">
        <v>286000</v>
      </c>
      <c r="O58" s="7">
        <v>0.63788300835654599</v>
      </c>
      <c r="P58" s="7">
        <v>0.80069930069930073</v>
      </c>
      <c r="Q58" s="4">
        <v>30</v>
      </c>
      <c r="R58" s="6">
        <v>45475</v>
      </c>
      <c r="S58" s="6">
        <v>45505</v>
      </c>
      <c r="T58" s="6">
        <v>46389</v>
      </c>
      <c r="U58" s="6">
        <v>46054</v>
      </c>
      <c r="V58" s="37" t="b">
        <f>DATA!$C58 = "First"</f>
        <v>1</v>
      </c>
      <c r="W58" s="37" t="b">
        <f>DATA!$U58 &gt;= DATE(2026, 1, 1) - 30</f>
        <v>1</v>
      </c>
      <c r="X58" s="37" t="b">
        <f>DATA!$J58 &lt;= 800000</f>
        <v>1</v>
      </c>
      <c r="Y58" s="37" t="b">
        <f>AND(DATA!$R58 &gt;= DATE(2026,1,1) - 360, DATA!$R58 &lt;=DATE(2026,1,1))</f>
        <v>0</v>
      </c>
      <c r="Z58" s="37" t="b">
        <f>AND(DATA!$K58 &gt;= DATE(2026,1,1) - 60, DATA!$K58 &lt;= DATE(2026,1,1))</f>
        <v>0</v>
      </c>
      <c r="AA58" s="4" t="s">
        <v>36</v>
      </c>
    </row>
    <row r="59" spans="1:27" ht="15.75" customHeight="1">
      <c r="A59" s="4">
        <v>58</v>
      </c>
      <c r="B59" s="4" t="s">
        <v>27</v>
      </c>
      <c r="C59" s="4" t="s">
        <v>28</v>
      </c>
      <c r="D59" s="4" t="s">
        <v>177</v>
      </c>
      <c r="E59" s="4" t="s">
        <v>178</v>
      </c>
      <c r="F59" s="4" t="s">
        <v>69</v>
      </c>
      <c r="G59" s="4">
        <v>94538</v>
      </c>
      <c r="H59" s="4">
        <v>1</v>
      </c>
      <c r="I59" s="4">
        <v>1</v>
      </c>
      <c r="J59" s="5">
        <v>373000</v>
      </c>
      <c r="K59" s="6">
        <v>45713</v>
      </c>
      <c r="L59" s="5">
        <v>778000</v>
      </c>
      <c r="M59" s="6">
        <v>45283</v>
      </c>
      <c r="N59" s="5">
        <v>565000</v>
      </c>
      <c r="O59" s="7">
        <v>0.47943444730077123</v>
      </c>
      <c r="P59" s="7">
        <v>0.66017699115044248</v>
      </c>
      <c r="Q59" s="4">
        <v>24</v>
      </c>
      <c r="R59" s="6">
        <v>45453</v>
      </c>
      <c r="S59" s="6">
        <v>45474</v>
      </c>
      <c r="T59" s="6">
        <v>46183</v>
      </c>
      <c r="U59" s="6">
        <v>46054</v>
      </c>
      <c r="V59" s="37" t="b">
        <f>DATA!$C59 = "First"</f>
        <v>1</v>
      </c>
      <c r="W59" s="37" t="b">
        <f>DATA!$U59 &gt;= DATE(2026, 1, 1) - 30</f>
        <v>1</v>
      </c>
      <c r="X59" s="37" t="b">
        <f>DATA!$J59 &lt;= 800000</f>
        <v>1</v>
      </c>
      <c r="Y59" s="37" t="b">
        <f>AND(DATA!$R59 &gt;= DATE(2026,1,1) - 360, DATA!$R59 &lt;=DATE(2026,1,1))</f>
        <v>0</v>
      </c>
      <c r="Z59" s="37" t="b">
        <f>AND(DATA!$K59 &gt;= DATE(2026,1,1) - 60, DATA!$K59 &lt;= DATE(2026,1,1))</f>
        <v>0</v>
      </c>
      <c r="AA59" s="4" t="s">
        <v>36</v>
      </c>
    </row>
    <row r="60" spans="1:27" ht="15.75" customHeight="1">
      <c r="A60" s="4">
        <v>59</v>
      </c>
      <c r="B60" s="4" t="s">
        <v>27</v>
      </c>
      <c r="C60" s="4" t="s">
        <v>28</v>
      </c>
      <c r="D60" s="4" t="s">
        <v>179</v>
      </c>
      <c r="E60" s="4" t="s">
        <v>180</v>
      </c>
      <c r="F60" s="4" t="s">
        <v>69</v>
      </c>
      <c r="G60" s="4">
        <v>92373</v>
      </c>
      <c r="H60" s="4">
        <v>1</v>
      </c>
      <c r="I60" s="4">
        <v>1</v>
      </c>
      <c r="J60" s="5">
        <v>592000</v>
      </c>
      <c r="K60" s="6">
        <v>45945</v>
      </c>
      <c r="L60" s="5">
        <v>1030000</v>
      </c>
      <c r="M60" s="6">
        <v>45562</v>
      </c>
      <c r="N60" s="5">
        <v>948000</v>
      </c>
      <c r="O60" s="7">
        <v>0.574757281553398</v>
      </c>
      <c r="P60" s="7">
        <v>0.62447257383966248</v>
      </c>
      <c r="Q60" s="4">
        <v>60</v>
      </c>
      <c r="R60" s="6">
        <v>45689</v>
      </c>
      <c r="S60" s="6">
        <v>45717</v>
      </c>
      <c r="T60" s="6">
        <v>47515</v>
      </c>
      <c r="U60" s="6">
        <v>46054</v>
      </c>
      <c r="V60" s="37" t="b">
        <f>DATA!$C60 = "First"</f>
        <v>1</v>
      </c>
      <c r="W60" s="37" t="b">
        <f>DATA!$U60 &gt;= DATE(2026, 1, 1) - 30</f>
        <v>1</v>
      </c>
      <c r="X60" s="37" t="b">
        <f>DATA!$J60 &lt;= 800000</f>
        <v>1</v>
      </c>
      <c r="Y60" s="37" t="b">
        <f>AND(DATA!$R60 &gt;= DATE(2026,1,1) - 360, DATA!$R60 &lt;=DATE(2026,1,1))</f>
        <v>1</v>
      </c>
      <c r="Z60" s="37" t="b">
        <f>AND(DATA!$K60 &gt;= DATE(2026,1,1) - 60, DATA!$K60 &lt;= DATE(2026,1,1))</f>
        <v>0</v>
      </c>
      <c r="AA60" s="4" t="s">
        <v>36</v>
      </c>
    </row>
    <row r="61" spans="1:27" ht="15.75" customHeight="1">
      <c r="A61" s="4">
        <v>60</v>
      </c>
      <c r="B61" s="4" t="s">
        <v>27</v>
      </c>
      <c r="C61" s="4" t="s">
        <v>28</v>
      </c>
      <c r="D61" s="4" t="s">
        <v>181</v>
      </c>
      <c r="E61" s="4" t="s">
        <v>182</v>
      </c>
      <c r="F61" s="4" t="s">
        <v>69</v>
      </c>
      <c r="G61" s="4">
        <v>91007</v>
      </c>
      <c r="H61" s="4">
        <v>1</v>
      </c>
      <c r="I61" s="4">
        <v>2</v>
      </c>
      <c r="J61" s="5">
        <v>607000</v>
      </c>
      <c r="K61" s="6">
        <v>45973</v>
      </c>
      <c r="L61" s="5">
        <v>1399000</v>
      </c>
      <c r="M61" s="6">
        <v>45717</v>
      </c>
      <c r="N61" s="5">
        <v>1017000</v>
      </c>
      <c r="O61" s="7">
        <v>0.43388134381701216</v>
      </c>
      <c r="P61" s="7">
        <v>0.59685349065880045</v>
      </c>
      <c r="Q61" s="4">
        <v>30</v>
      </c>
      <c r="R61" s="6">
        <v>45739</v>
      </c>
      <c r="S61" s="6">
        <v>45748</v>
      </c>
      <c r="T61" s="6">
        <v>46653</v>
      </c>
      <c r="U61" s="6">
        <v>46054</v>
      </c>
      <c r="V61" s="37" t="b">
        <f>DATA!$C61 = "First"</f>
        <v>1</v>
      </c>
      <c r="W61" s="37" t="b">
        <f>DATA!$U61 &gt;= DATE(2026, 1, 1) - 30</f>
        <v>1</v>
      </c>
      <c r="X61" s="37" t="b">
        <f>DATA!$J61 &lt;= 800000</f>
        <v>1</v>
      </c>
      <c r="Y61" s="37" t="b">
        <f>AND(DATA!$R61 &gt;= DATE(2026,1,1) - 360, DATA!$R61 &lt;=DATE(2026,1,1))</f>
        <v>1</v>
      </c>
      <c r="Z61" s="37" t="b">
        <f>AND(DATA!$K61 &gt;= DATE(2026,1,1) - 60, DATA!$K61 &lt;= DATE(2026,1,1))</f>
        <v>1</v>
      </c>
      <c r="AA61" s="4" t="s">
        <v>32</v>
      </c>
    </row>
    <row r="62" spans="1:27" ht="15.75" customHeight="1">
      <c r="A62" s="4">
        <v>61</v>
      </c>
      <c r="B62" s="4" t="s">
        <v>27</v>
      </c>
      <c r="C62" s="4" t="s">
        <v>28</v>
      </c>
      <c r="D62" s="4" t="s">
        <v>183</v>
      </c>
      <c r="E62" s="4" t="s">
        <v>184</v>
      </c>
      <c r="F62" s="4" t="s">
        <v>69</v>
      </c>
      <c r="G62" s="4">
        <v>94401</v>
      </c>
      <c r="H62" s="4">
        <v>1</v>
      </c>
      <c r="I62" s="4">
        <v>1</v>
      </c>
      <c r="J62" s="5">
        <v>166000</v>
      </c>
      <c r="K62" s="6">
        <v>45739</v>
      </c>
      <c r="L62" s="5">
        <v>378000</v>
      </c>
      <c r="M62" s="6">
        <v>45429</v>
      </c>
      <c r="N62" s="5">
        <v>275000</v>
      </c>
      <c r="O62" s="7">
        <v>0.43915343915343913</v>
      </c>
      <c r="P62" s="7">
        <v>0.60363636363636364</v>
      </c>
      <c r="Q62" s="4">
        <v>48</v>
      </c>
      <c r="R62" s="6">
        <v>45504</v>
      </c>
      <c r="S62" s="6">
        <v>45505</v>
      </c>
      <c r="T62" s="6">
        <v>46965</v>
      </c>
      <c r="U62" s="6">
        <v>46054</v>
      </c>
      <c r="V62" s="37" t="b">
        <f>DATA!$C62 = "First"</f>
        <v>1</v>
      </c>
      <c r="W62" s="37" t="b">
        <f>DATA!$U62 &gt;= DATE(2026, 1, 1) - 30</f>
        <v>1</v>
      </c>
      <c r="X62" s="37" t="b">
        <f>DATA!$J62 &lt;= 800000</f>
        <v>1</v>
      </c>
      <c r="Y62" s="37" t="b">
        <f>AND(DATA!$R62 &gt;= DATE(2026,1,1) - 360, DATA!$R62 &lt;=DATE(2026,1,1))</f>
        <v>0</v>
      </c>
      <c r="Z62" s="37" t="b">
        <f>AND(DATA!$K62 &gt;= DATE(2026,1,1) - 60, DATA!$K62 &lt;= DATE(2026,1,1))</f>
        <v>0</v>
      </c>
      <c r="AA62" s="4" t="s">
        <v>36</v>
      </c>
    </row>
    <row r="63" spans="1:27" ht="15.75" customHeight="1">
      <c r="A63" s="4">
        <v>62</v>
      </c>
      <c r="B63" s="4" t="s">
        <v>27</v>
      </c>
      <c r="C63" s="4" t="s">
        <v>28</v>
      </c>
      <c r="D63" s="4" t="s">
        <v>185</v>
      </c>
      <c r="E63" s="4" t="s">
        <v>186</v>
      </c>
      <c r="F63" s="4" t="s">
        <v>69</v>
      </c>
      <c r="G63" s="4">
        <v>95014</v>
      </c>
      <c r="H63" s="4">
        <v>1</v>
      </c>
      <c r="I63" s="4">
        <v>1</v>
      </c>
      <c r="J63" s="5">
        <v>325000</v>
      </c>
      <c r="K63" s="6">
        <v>45826</v>
      </c>
      <c r="L63" s="5">
        <v>449000</v>
      </c>
      <c r="M63" s="6">
        <v>45465</v>
      </c>
      <c r="N63" s="5">
        <v>413000</v>
      </c>
      <c r="O63" s="7">
        <v>0.72383073496659245</v>
      </c>
      <c r="P63" s="7">
        <v>0.78692493946731235</v>
      </c>
      <c r="Q63" s="4">
        <v>24</v>
      </c>
      <c r="R63" s="6">
        <v>45577</v>
      </c>
      <c r="S63" s="6">
        <v>45597</v>
      </c>
      <c r="T63" s="6">
        <v>46307</v>
      </c>
      <c r="U63" s="6">
        <v>46023</v>
      </c>
      <c r="V63" s="37" t="b">
        <f>DATA!$C63 = "First"</f>
        <v>1</v>
      </c>
      <c r="W63" s="37" t="b">
        <f>DATA!$U63 &gt;= DATE(2026, 1, 1) - 30</f>
        <v>1</v>
      </c>
      <c r="X63" s="37" t="b">
        <f>DATA!$J63 &lt;= 800000</f>
        <v>1</v>
      </c>
      <c r="Y63" s="37" t="b">
        <f>AND(DATA!$R63 &gt;= DATE(2026,1,1) - 360, DATA!$R63 &lt;=DATE(2026,1,1))</f>
        <v>0</v>
      </c>
      <c r="Z63" s="37" t="b">
        <f>AND(DATA!$K63 &gt;= DATE(2026,1,1) - 60, DATA!$K63 &lt;= DATE(2026,1,1))</f>
        <v>0</v>
      </c>
      <c r="AA63" s="4" t="s">
        <v>36</v>
      </c>
    </row>
    <row r="64" spans="1:27" ht="15.75" customHeight="1">
      <c r="A64" s="4">
        <v>63</v>
      </c>
      <c r="B64" s="4" t="s">
        <v>27</v>
      </c>
      <c r="C64" s="4" t="s">
        <v>28</v>
      </c>
      <c r="D64" s="4" t="s">
        <v>187</v>
      </c>
      <c r="E64" s="4" t="s">
        <v>188</v>
      </c>
      <c r="F64" s="4" t="s">
        <v>69</v>
      </c>
      <c r="G64" s="4">
        <v>94301</v>
      </c>
      <c r="H64" s="4">
        <v>1</v>
      </c>
      <c r="I64" s="4">
        <v>1</v>
      </c>
      <c r="J64" s="5">
        <v>361000</v>
      </c>
      <c r="K64" s="6">
        <v>45892</v>
      </c>
      <c r="L64" s="5">
        <v>550000</v>
      </c>
      <c r="M64" s="6">
        <v>45680</v>
      </c>
      <c r="N64" s="5">
        <v>454000</v>
      </c>
      <c r="O64" s="7">
        <v>0.65636363636363637</v>
      </c>
      <c r="P64" s="7">
        <v>0.79515418502202639</v>
      </c>
      <c r="Q64" s="4">
        <v>36</v>
      </c>
      <c r="R64" s="6">
        <v>45804</v>
      </c>
      <c r="S64" s="6">
        <v>45809</v>
      </c>
      <c r="T64" s="6">
        <v>46900</v>
      </c>
      <c r="U64" s="6">
        <v>46054</v>
      </c>
      <c r="V64" s="37" t="b">
        <f>DATA!$C64 = "First"</f>
        <v>1</v>
      </c>
      <c r="W64" s="37" t="b">
        <f>DATA!$U64 &gt;= DATE(2026, 1, 1) - 30</f>
        <v>1</v>
      </c>
      <c r="X64" s="37" t="b">
        <f>DATA!$J64 &lt;= 800000</f>
        <v>1</v>
      </c>
      <c r="Y64" s="37" t="b">
        <f>AND(DATA!$R64 &gt;= DATE(2026,1,1) - 360, DATA!$R64 &lt;=DATE(2026,1,1))</f>
        <v>1</v>
      </c>
      <c r="Z64" s="37" t="b">
        <f>AND(DATA!$K64 &gt;= DATE(2026,1,1) - 60, DATA!$K64 &lt;= DATE(2026,1,1))</f>
        <v>0</v>
      </c>
      <c r="AA64" s="4" t="s">
        <v>36</v>
      </c>
    </row>
    <row r="65" spans="1:27" ht="15.75" customHeight="1">
      <c r="A65" s="4">
        <v>64</v>
      </c>
      <c r="B65" s="4" t="s">
        <v>27</v>
      </c>
      <c r="C65" s="4" t="s">
        <v>28</v>
      </c>
      <c r="D65" s="4" t="s">
        <v>189</v>
      </c>
      <c r="E65" s="4" t="s">
        <v>190</v>
      </c>
      <c r="F65" s="4" t="s">
        <v>69</v>
      </c>
      <c r="G65" s="4">
        <v>94041</v>
      </c>
      <c r="H65" s="4">
        <v>1</v>
      </c>
      <c r="I65" s="4">
        <v>1</v>
      </c>
      <c r="J65" s="5">
        <v>562000</v>
      </c>
      <c r="K65" s="6">
        <v>45778</v>
      </c>
      <c r="L65" s="5">
        <v>1078000</v>
      </c>
      <c r="M65" s="6">
        <v>45377</v>
      </c>
      <c r="N65" s="5">
        <v>925000</v>
      </c>
      <c r="O65" s="7">
        <v>0.52133580705009275</v>
      </c>
      <c r="P65" s="7">
        <v>0.60756756756756758</v>
      </c>
      <c r="Q65" s="4">
        <v>24</v>
      </c>
      <c r="R65" s="6">
        <v>45551</v>
      </c>
      <c r="S65" s="6">
        <v>45566</v>
      </c>
      <c r="T65" s="6">
        <v>46281</v>
      </c>
      <c r="U65" s="6">
        <v>46054</v>
      </c>
      <c r="V65" s="37" t="b">
        <f>DATA!$C65 = "First"</f>
        <v>1</v>
      </c>
      <c r="W65" s="37" t="b">
        <f>DATA!$U65 &gt;= DATE(2026, 1, 1) - 30</f>
        <v>1</v>
      </c>
      <c r="X65" s="37" t="b">
        <f>DATA!$J65 &lt;= 800000</f>
        <v>1</v>
      </c>
      <c r="Y65" s="37" t="b">
        <f>AND(DATA!$R65 &gt;= DATE(2026,1,1) - 360, DATA!$R65 &lt;=DATE(2026,1,1))</f>
        <v>0</v>
      </c>
      <c r="Z65" s="37" t="b">
        <f>AND(DATA!$K65 &gt;= DATE(2026,1,1) - 60, DATA!$K65 &lt;= DATE(2026,1,1))</f>
        <v>0</v>
      </c>
      <c r="AA65" s="4" t="s">
        <v>36</v>
      </c>
    </row>
    <row r="66" spans="1:27" ht="15.75" customHeight="1">
      <c r="A66" s="4">
        <v>65</v>
      </c>
      <c r="B66" s="4" t="s">
        <v>27</v>
      </c>
      <c r="C66" s="4" t="s">
        <v>28</v>
      </c>
      <c r="D66" s="4" t="s">
        <v>191</v>
      </c>
      <c r="E66" s="4" t="s">
        <v>192</v>
      </c>
      <c r="F66" s="4" t="s">
        <v>69</v>
      </c>
      <c r="G66" s="4">
        <v>94086</v>
      </c>
      <c r="H66" s="4">
        <v>1</v>
      </c>
      <c r="I66" s="4">
        <v>1</v>
      </c>
      <c r="J66" s="5">
        <v>637000</v>
      </c>
      <c r="K66" s="6">
        <v>45722</v>
      </c>
      <c r="L66" s="5">
        <v>1167000</v>
      </c>
      <c r="M66" s="6">
        <v>45517</v>
      </c>
      <c r="N66" s="5">
        <v>906000</v>
      </c>
      <c r="O66" s="7">
        <v>0.54584404455869751</v>
      </c>
      <c r="P66" s="7">
        <v>0.70309050772626935</v>
      </c>
      <c r="Q66" s="4">
        <v>60</v>
      </c>
      <c r="R66" s="6">
        <v>45608</v>
      </c>
      <c r="S66" s="6">
        <v>45627</v>
      </c>
      <c r="T66" s="6">
        <v>47434</v>
      </c>
      <c r="U66" s="6">
        <v>46054</v>
      </c>
      <c r="V66" s="37" t="b">
        <f>DATA!$C66 = "First"</f>
        <v>1</v>
      </c>
      <c r="W66" s="37" t="b">
        <f>DATA!$U66 &gt;= DATE(2026, 1, 1) - 30</f>
        <v>1</v>
      </c>
      <c r="X66" s="37" t="b">
        <f>DATA!$J66 &lt;= 800000</f>
        <v>1</v>
      </c>
      <c r="Y66" s="37" t="b">
        <f>AND(DATA!$R66 &gt;= DATE(2026,1,1) - 360, DATA!$R66 &lt;=DATE(2026,1,1))</f>
        <v>0</v>
      </c>
      <c r="Z66" s="37" t="b">
        <f>AND(DATA!$K66 &gt;= DATE(2026,1,1) - 60, DATA!$K66 &lt;= DATE(2026,1,1))</f>
        <v>0</v>
      </c>
      <c r="AA66" s="4" t="s">
        <v>36</v>
      </c>
    </row>
    <row r="67" spans="1:27" ht="15.75" customHeight="1">
      <c r="A67" s="4">
        <v>66</v>
      </c>
      <c r="B67" s="4" t="s">
        <v>27</v>
      </c>
      <c r="C67" s="4" t="s">
        <v>28</v>
      </c>
      <c r="D67" s="4" t="s">
        <v>193</v>
      </c>
      <c r="E67" s="4" t="s">
        <v>194</v>
      </c>
      <c r="F67" s="4" t="s">
        <v>69</v>
      </c>
      <c r="G67" s="4">
        <v>94952</v>
      </c>
      <c r="H67" s="4">
        <v>1</v>
      </c>
      <c r="I67" s="4">
        <v>1</v>
      </c>
      <c r="J67" s="5">
        <v>966000</v>
      </c>
      <c r="K67" s="6">
        <v>45390</v>
      </c>
      <c r="L67" s="5">
        <v>1277000</v>
      </c>
      <c r="M67" s="6">
        <v>45200</v>
      </c>
      <c r="N67" s="5">
        <v>1148000</v>
      </c>
      <c r="O67" s="7">
        <v>0.75646045418950669</v>
      </c>
      <c r="P67" s="7">
        <v>0.84146341463414631</v>
      </c>
      <c r="Q67" s="4">
        <v>36</v>
      </c>
      <c r="R67" s="6">
        <v>45351</v>
      </c>
      <c r="S67" s="6">
        <v>45352</v>
      </c>
      <c r="T67" s="6">
        <v>46446</v>
      </c>
      <c r="U67" s="6">
        <v>46054</v>
      </c>
      <c r="V67" s="37" t="b">
        <f>DATA!$C67 = "First"</f>
        <v>1</v>
      </c>
      <c r="W67" s="37" t="b">
        <f>DATA!$U67 &gt;= DATE(2026, 1, 1) - 30</f>
        <v>1</v>
      </c>
      <c r="X67" s="37" t="b">
        <f>DATA!$J67 &lt;= 800000</f>
        <v>0</v>
      </c>
      <c r="Y67" s="37" t="b">
        <f>AND(DATA!$R67 &gt;= DATE(2026,1,1) - 360, DATA!$R67 &lt;=DATE(2026,1,1))</f>
        <v>0</v>
      </c>
      <c r="Z67" s="37" t="b">
        <f>AND(DATA!$K67 &gt;= DATE(2026,1,1) - 60, DATA!$K67 &lt;= DATE(2026,1,1))</f>
        <v>0</v>
      </c>
      <c r="AA67" s="4" t="s">
        <v>36</v>
      </c>
    </row>
    <row r="68" spans="1:27" ht="15.75" customHeight="1">
      <c r="A68" s="4">
        <v>67</v>
      </c>
      <c r="B68" s="4" t="s">
        <v>27</v>
      </c>
      <c r="C68" s="4" t="s">
        <v>28</v>
      </c>
      <c r="D68" s="4" t="s">
        <v>195</v>
      </c>
      <c r="E68" s="4" t="s">
        <v>196</v>
      </c>
      <c r="F68" s="4" t="s">
        <v>69</v>
      </c>
      <c r="G68" s="4">
        <v>95482</v>
      </c>
      <c r="H68" s="4">
        <v>1</v>
      </c>
      <c r="I68" s="4">
        <v>1</v>
      </c>
      <c r="J68" s="5">
        <v>454000</v>
      </c>
      <c r="K68" s="6">
        <v>45619</v>
      </c>
      <c r="L68" s="5">
        <v>920000</v>
      </c>
      <c r="M68" s="6">
        <v>45406</v>
      </c>
      <c r="N68" s="5">
        <v>694000</v>
      </c>
      <c r="O68" s="7">
        <v>0.4934782608695652</v>
      </c>
      <c r="P68" s="7">
        <v>0.65417867435158505</v>
      </c>
      <c r="Q68" s="4">
        <v>48</v>
      </c>
      <c r="R68" s="6">
        <v>45434</v>
      </c>
      <c r="S68" s="6">
        <v>45444</v>
      </c>
      <c r="T68" s="6">
        <v>46895</v>
      </c>
      <c r="U68" s="6">
        <v>46054</v>
      </c>
      <c r="V68" s="37" t="b">
        <f>DATA!$C68 = "First"</f>
        <v>1</v>
      </c>
      <c r="W68" s="37" t="b">
        <f>DATA!$U68 &gt;= DATE(2026, 1, 1) - 30</f>
        <v>1</v>
      </c>
      <c r="X68" s="37" t="b">
        <f>DATA!$J68 &lt;= 800000</f>
        <v>1</v>
      </c>
      <c r="Y68" s="37" t="b">
        <f>AND(DATA!$R68 &gt;= DATE(2026,1,1) - 360, DATA!$R68 &lt;=DATE(2026,1,1))</f>
        <v>0</v>
      </c>
      <c r="Z68" s="37" t="b">
        <f>AND(DATA!$K68 &gt;= DATE(2026,1,1) - 60, DATA!$K68 &lt;= DATE(2026,1,1))</f>
        <v>0</v>
      </c>
      <c r="AA68" s="4" t="s">
        <v>36</v>
      </c>
    </row>
    <row r="69" spans="1:27" ht="15.75" customHeight="1">
      <c r="A69" s="4">
        <v>68</v>
      </c>
      <c r="B69" s="4" t="s">
        <v>27</v>
      </c>
      <c r="C69" s="4" t="s">
        <v>28</v>
      </c>
      <c r="D69" s="4" t="s">
        <v>197</v>
      </c>
      <c r="E69" s="4" t="s">
        <v>198</v>
      </c>
      <c r="F69" s="4" t="s">
        <v>69</v>
      </c>
      <c r="G69" s="4">
        <v>93940</v>
      </c>
      <c r="H69" s="4">
        <v>1</v>
      </c>
      <c r="I69" s="4">
        <v>1</v>
      </c>
      <c r="J69" s="5">
        <v>528000</v>
      </c>
      <c r="K69" s="6">
        <v>45987</v>
      </c>
      <c r="L69" s="5">
        <v>719000</v>
      </c>
      <c r="M69" s="6">
        <v>45695</v>
      </c>
      <c r="N69" s="5">
        <v>644000</v>
      </c>
      <c r="O69" s="7">
        <v>0.73435326842837279</v>
      </c>
      <c r="P69" s="7">
        <v>0.81987577639751552</v>
      </c>
      <c r="Q69" s="4">
        <v>24</v>
      </c>
      <c r="R69" s="6">
        <v>45846</v>
      </c>
      <c r="S69" s="6">
        <v>45870</v>
      </c>
      <c r="T69" s="6">
        <v>46576</v>
      </c>
      <c r="U69" s="6">
        <v>46054</v>
      </c>
      <c r="V69" s="37" t="b">
        <f>DATA!$C69 = "First"</f>
        <v>1</v>
      </c>
      <c r="W69" s="37" t="b">
        <f>DATA!$U69 &gt;= DATE(2026, 1, 1) - 30</f>
        <v>1</v>
      </c>
      <c r="X69" s="37" t="b">
        <f>DATA!$J69 &lt;= 800000</f>
        <v>1</v>
      </c>
      <c r="Y69" s="37" t="b">
        <f>AND(DATA!$R69 &gt;= DATE(2026,1,1) - 360, DATA!$R69 &lt;=DATE(2026,1,1))</f>
        <v>1</v>
      </c>
      <c r="Z69" s="37" t="b">
        <f>AND(DATA!$K69 &gt;= DATE(2026,1,1) - 60, DATA!$K69 &lt;= DATE(2026,1,1))</f>
        <v>1</v>
      </c>
      <c r="AA69" s="4" t="s">
        <v>32</v>
      </c>
    </row>
    <row r="70" spans="1:27" ht="15.75" customHeight="1">
      <c r="A70" s="4">
        <v>69</v>
      </c>
      <c r="B70" s="4" t="s">
        <v>27</v>
      </c>
      <c r="C70" s="4" t="s">
        <v>28</v>
      </c>
      <c r="D70" s="4" t="s">
        <v>199</v>
      </c>
      <c r="E70" s="4" t="s">
        <v>200</v>
      </c>
      <c r="F70" s="4" t="s">
        <v>69</v>
      </c>
      <c r="G70" s="4">
        <v>95060</v>
      </c>
      <c r="H70" s="4">
        <v>1</v>
      </c>
      <c r="I70" s="4">
        <v>2</v>
      </c>
      <c r="J70" s="5">
        <v>948000</v>
      </c>
      <c r="K70" s="6">
        <v>45447</v>
      </c>
      <c r="L70" s="5">
        <v>1545000</v>
      </c>
      <c r="M70" s="6">
        <v>45277</v>
      </c>
      <c r="N70" s="5">
        <v>1197000</v>
      </c>
      <c r="O70" s="7">
        <v>0.61359223300970878</v>
      </c>
      <c r="P70" s="7">
        <v>0.79197994987468667</v>
      </c>
      <c r="Q70" s="4">
        <v>30</v>
      </c>
      <c r="R70" s="6">
        <v>45324</v>
      </c>
      <c r="S70" s="6">
        <v>45352</v>
      </c>
      <c r="T70" s="6">
        <v>46236</v>
      </c>
      <c r="U70" s="6">
        <v>46023</v>
      </c>
      <c r="V70" s="37" t="b">
        <f>DATA!$C70 = "First"</f>
        <v>1</v>
      </c>
      <c r="W70" s="37" t="b">
        <f>DATA!$U70 &gt;= DATE(2026, 1, 1) - 30</f>
        <v>1</v>
      </c>
      <c r="X70" s="37" t="b">
        <f>DATA!$J70 &lt;= 800000</f>
        <v>0</v>
      </c>
      <c r="Y70" s="37" t="b">
        <f>AND(DATA!$R70 &gt;= DATE(2026,1,1) - 360, DATA!$R70 &lt;=DATE(2026,1,1))</f>
        <v>0</v>
      </c>
      <c r="Z70" s="37" t="b">
        <f>AND(DATA!$K70 &gt;= DATE(2026,1,1) - 60, DATA!$K70 &lt;= DATE(2026,1,1))</f>
        <v>0</v>
      </c>
      <c r="AA70" s="4" t="s">
        <v>36</v>
      </c>
    </row>
    <row r="71" spans="1:27" ht="15.75" customHeight="1">
      <c r="A71" s="4">
        <v>70</v>
      </c>
      <c r="B71" s="4" t="s">
        <v>27</v>
      </c>
      <c r="C71" s="4" t="s">
        <v>28</v>
      </c>
      <c r="D71" s="4" t="s">
        <v>201</v>
      </c>
      <c r="E71" s="4" t="s">
        <v>202</v>
      </c>
      <c r="F71" s="4" t="s">
        <v>69</v>
      </c>
      <c r="G71" s="4">
        <v>95472</v>
      </c>
      <c r="H71" s="4">
        <v>1</v>
      </c>
      <c r="I71" s="4">
        <v>3</v>
      </c>
      <c r="J71" s="5">
        <v>915000</v>
      </c>
      <c r="K71" s="6">
        <v>45963</v>
      </c>
      <c r="L71" s="5">
        <v>1423000</v>
      </c>
      <c r="M71" s="6">
        <v>45601</v>
      </c>
      <c r="N71" s="5">
        <v>1221000</v>
      </c>
      <c r="O71" s="7">
        <v>0.64300773014757551</v>
      </c>
      <c r="P71" s="7">
        <v>0.74938574938574942</v>
      </c>
      <c r="Q71" s="4">
        <v>36</v>
      </c>
      <c r="R71" s="6">
        <v>45764</v>
      </c>
      <c r="S71" s="6">
        <v>45778</v>
      </c>
      <c r="T71" s="6">
        <v>46860</v>
      </c>
      <c r="U71" s="6">
        <v>46054</v>
      </c>
      <c r="V71" s="37" t="b">
        <f>DATA!$C71 = "First"</f>
        <v>1</v>
      </c>
      <c r="W71" s="37" t="b">
        <f>DATA!$U71 &gt;= DATE(2026, 1, 1) - 30</f>
        <v>1</v>
      </c>
      <c r="X71" s="37" t="b">
        <f>DATA!$J71 &lt;= 800000</f>
        <v>0</v>
      </c>
      <c r="Y71" s="37" t="b">
        <f>AND(DATA!$R71 &gt;= DATE(2026,1,1) - 360, DATA!$R71 &lt;=DATE(2026,1,1))</f>
        <v>1</v>
      </c>
      <c r="Z71" s="37" t="b">
        <f>AND(DATA!$K71 &gt;= DATE(2026,1,1) - 60, DATA!$K71 &lt;= DATE(2026,1,1))</f>
        <v>1</v>
      </c>
      <c r="AA71" s="4" t="s">
        <v>36</v>
      </c>
    </row>
    <row r="72" spans="1:27" ht="15.75" customHeight="1">
      <c r="A72" s="4">
        <v>71</v>
      </c>
      <c r="B72" s="4" t="s">
        <v>27</v>
      </c>
      <c r="C72" s="4" t="s">
        <v>28</v>
      </c>
      <c r="D72" s="4" t="s">
        <v>203</v>
      </c>
      <c r="E72" s="4" t="s">
        <v>204</v>
      </c>
      <c r="F72" s="4" t="s">
        <v>69</v>
      </c>
      <c r="G72" s="4">
        <v>95688</v>
      </c>
      <c r="H72" s="4">
        <v>1</v>
      </c>
      <c r="I72" s="4">
        <v>1</v>
      </c>
      <c r="J72" s="5">
        <v>494000</v>
      </c>
      <c r="K72" s="6">
        <v>45658</v>
      </c>
      <c r="L72" s="5">
        <v>917000</v>
      </c>
      <c r="M72" s="6">
        <v>45346</v>
      </c>
      <c r="N72" s="5">
        <v>769000</v>
      </c>
      <c r="O72" s="7">
        <v>0.53871319520174477</v>
      </c>
      <c r="P72" s="7">
        <v>0.64239271781534457</v>
      </c>
      <c r="Q72" s="4">
        <v>48</v>
      </c>
      <c r="R72" s="6">
        <v>45450</v>
      </c>
      <c r="S72" s="6">
        <v>45474</v>
      </c>
      <c r="T72" s="6">
        <v>46911</v>
      </c>
      <c r="U72" s="6">
        <v>46054</v>
      </c>
      <c r="V72" s="37" t="b">
        <f>DATA!$C72 = "First"</f>
        <v>1</v>
      </c>
      <c r="W72" s="37" t="b">
        <f>DATA!$U72 &gt;= DATE(2026, 1, 1) - 30</f>
        <v>1</v>
      </c>
      <c r="X72" s="37" t="b">
        <f>DATA!$J72 &lt;= 800000</f>
        <v>1</v>
      </c>
      <c r="Y72" s="37" t="b">
        <f>AND(DATA!$R72 &gt;= DATE(2026,1,1) - 360, DATA!$R72 &lt;=DATE(2026,1,1))</f>
        <v>0</v>
      </c>
      <c r="Z72" s="37" t="b">
        <f>AND(DATA!$K72 &gt;= DATE(2026,1,1) - 60, DATA!$K72 &lt;= DATE(2026,1,1))</f>
        <v>0</v>
      </c>
      <c r="AA72" s="4" t="s">
        <v>36</v>
      </c>
    </row>
    <row r="73" spans="1:27" ht="15.75" customHeight="1">
      <c r="A73" s="4">
        <v>72</v>
      </c>
      <c r="B73" s="4" t="s">
        <v>27</v>
      </c>
      <c r="C73" s="4" t="s">
        <v>28</v>
      </c>
      <c r="D73" s="4" t="s">
        <v>205</v>
      </c>
      <c r="E73" s="4" t="s">
        <v>206</v>
      </c>
      <c r="F73" s="4" t="s">
        <v>69</v>
      </c>
      <c r="G73" s="4">
        <v>93101</v>
      </c>
      <c r="H73" s="4">
        <v>1</v>
      </c>
      <c r="I73" s="4">
        <v>2</v>
      </c>
      <c r="J73" s="5">
        <v>231000</v>
      </c>
      <c r="K73" s="6">
        <v>45828</v>
      </c>
      <c r="L73" s="5">
        <v>487000</v>
      </c>
      <c r="M73" s="6">
        <v>45586</v>
      </c>
      <c r="N73" s="5">
        <v>380000</v>
      </c>
      <c r="O73" s="7">
        <v>0.47433264887063653</v>
      </c>
      <c r="P73" s="7">
        <v>0.60789473684210527</v>
      </c>
      <c r="Q73" s="4">
        <v>48</v>
      </c>
      <c r="R73" s="6">
        <v>45625</v>
      </c>
      <c r="S73" s="6">
        <v>45627</v>
      </c>
      <c r="T73" s="6">
        <v>47086</v>
      </c>
      <c r="U73" s="6">
        <v>46054</v>
      </c>
      <c r="V73" s="37" t="b">
        <f>DATA!$C73 = "First"</f>
        <v>1</v>
      </c>
      <c r="W73" s="37" t="b">
        <f>DATA!$U73 &gt;= DATE(2026, 1, 1) - 30</f>
        <v>1</v>
      </c>
      <c r="X73" s="37" t="b">
        <f>DATA!$J73 &lt;= 800000</f>
        <v>1</v>
      </c>
      <c r="Y73" s="37" t="b">
        <f>AND(DATA!$R73 &gt;= DATE(2026,1,1) - 360, DATA!$R73 &lt;=DATE(2026,1,1))</f>
        <v>0</v>
      </c>
      <c r="Z73" s="37" t="b">
        <f>AND(DATA!$K73 &gt;= DATE(2026,1,1) - 60, DATA!$K73 &lt;= DATE(2026,1,1))</f>
        <v>0</v>
      </c>
      <c r="AA73" s="4" t="s">
        <v>36</v>
      </c>
    </row>
    <row r="74" spans="1:27" ht="15.75" customHeight="1">
      <c r="A74" s="4">
        <v>73</v>
      </c>
      <c r="B74" s="4" t="s">
        <v>27</v>
      </c>
      <c r="C74" s="4" t="s">
        <v>28</v>
      </c>
      <c r="D74" s="4" t="s">
        <v>207</v>
      </c>
      <c r="E74" s="4" t="s">
        <v>208</v>
      </c>
      <c r="F74" s="4" t="s">
        <v>69</v>
      </c>
      <c r="G74" s="4">
        <v>93401</v>
      </c>
      <c r="H74" s="4">
        <v>1</v>
      </c>
      <c r="I74" s="4">
        <v>1</v>
      </c>
      <c r="J74" s="5">
        <v>533000</v>
      </c>
      <c r="K74" s="6">
        <v>45608</v>
      </c>
      <c r="L74" s="5">
        <v>1033000</v>
      </c>
      <c r="M74" s="6">
        <v>45478</v>
      </c>
      <c r="N74" s="5">
        <v>832000</v>
      </c>
      <c r="O74" s="7">
        <v>0.51597289448209105</v>
      </c>
      <c r="P74" s="7">
        <v>0.640625</v>
      </c>
      <c r="Q74" s="4">
        <v>24</v>
      </c>
      <c r="R74" s="6">
        <v>45501</v>
      </c>
      <c r="S74" s="6">
        <v>45505</v>
      </c>
      <c r="T74" s="6">
        <v>46231</v>
      </c>
      <c r="U74" s="6">
        <v>46054</v>
      </c>
      <c r="V74" s="37" t="b">
        <f>DATA!$C74 = "First"</f>
        <v>1</v>
      </c>
      <c r="W74" s="37" t="b">
        <f>DATA!$U74 &gt;= DATE(2026, 1, 1) - 30</f>
        <v>1</v>
      </c>
      <c r="X74" s="37" t="b">
        <f>DATA!$J74 &lt;= 800000</f>
        <v>1</v>
      </c>
      <c r="Y74" s="37" t="b">
        <f>AND(DATA!$R74 &gt;= DATE(2026,1,1) - 360, DATA!$R74 &lt;=DATE(2026,1,1))</f>
        <v>0</v>
      </c>
      <c r="Z74" s="37" t="b">
        <f>AND(DATA!$K74 &gt;= DATE(2026,1,1) - 60, DATA!$K74 &lt;= DATE(2026,1,1))</f>
        <v>0</v>
      </c>
      <c r="AA74" s="4" t="s">
        <v>36</v>
      </c>
    </row>
    <row r="75" spans="1:27" ht="15.75" customHeight="1">
      <c r="A75" s="4">
        <v>74</v>
      </c>
      <c r="B75" s="4" t="s">
        <v>27</v>
      </c>
      <c r="C75" s="4" t="s">
        <v>28</v>
      </c>
      <c r="D75" s="4" t="s">
        <v>209</v>
      </c>
      <c r="E75" s="4" t="s">
        <v>210</v>
      </c>
      <c r="F75" s="4" t="s">
        <v>69</v>
      </c>
      <c r="G75" s="4">
        <v>93921</v>
      </c>
      <c r="H75" s="4">
        <v>1</v>
      </c>
      <c r="I75" s="4">
        <v>1</v>
      </c>
      <c r="J75" s="5">
        <v>542000</v>
      </c>
      <c r="K75" s="6">
        <v>45765</v>
      </c>
      <c r="L75" s="5">
        <v>871000</v>
      </c>
      <c r="M75" s="6">
        <v>45489</v>
      </c>
      <c r="N75" s="5">
        <v>690000</v>
      </c>
      <c r="O75" s="7">
        <v>0.62227324913892079</v>
      </c>
      <c r="P75" s="7">
        <v>0.78550724637681157</v>
      </c>
      <c r="Q75" s="4">
        <v>36</v>
      </c>
      <c r="R75" s="6">
        <v>45616</v>
      </c>
      <c r="S75" s="6">
        <v>45627</v>
      </c>
      <c r="T75" s="6">
        <v>46711</v>
      </c>
      <c r="U75" s="6">
        <v>46054</v>
      </c>
      <c r="V75" s="37" t="b">
        <f>DATA!$C75 = "First"</f>
        <v>1</v>
      </c>
      <c r="W75" s="37" t="b">
        <f>DATA!$U75 &gt;= DATE(2026, 1, 1) - 30</f>
        <v>1</v>
      </c>
      <c r="X75" s="37" t="b">
        <f>DATA!$J75 &lt;= 800000</f>
        <v>1</v>
      </c>
      <c r="Y75" s="37" t="b">
        <f>AND(DATA!$R75 &gt;= DATE(2026,1,1) - 360, DATA!$R75 &lt;=DATE(2026,1,1))</f>
        <v>0</v>
      </c>
      <c r="Z75" s="37" t="b">
        <f>AND(DATA!$K75 &gt;= DATE(2026,1,1) - 60, DATA!$K75 &lt;= DATE(2026,1,1))</f>
        <v>0</v>
      </c>
      <c r="AA75" s="4" t="s">
        <v>36</v>
      </c>
    </row>
    <row r="76" spans="1:27" ht="15.75" customHeight="1">
      <c r="A76" s="4">
        <v>75</v>
      </c>
      <c r="B76" s="4" t="s">
        <v>27</v>
      </c>
      <c r="C76" s="4" t="s">
        <v>28</v>
      </c>
      <c r="D76" s="4" t="s">
        <v>211</v>
      </c>
      <c r="E76" s="4" t="s">
        <v>212</v>
      </c>
      <c r="F76" s="4" t="s">
        <v>69</v>
      </c>
      <c r="G76" s="4">
        <v>95448</v>
      </c>
      <c r="H76" s="4">
        <v>1</v>
      </c>
      <c r="I76" s="4">
        <v>1</v>
      </c>
      <c r="J76" s="5">
        <v>578000</v>
      </c>
      <c r="K76" s="6">
        <v>45973</v>
      </c>
      <c r="L76" s="5">
        <v>1144000</v>
      </c>
      <c r="M76" s="6">
        <v>45708</v>
      </c>
      <c r="N76" s="5">
        <v>941000</v>
      </c>
      <c r="O76" s="7">
        <v>0.50524475524475521</v>
      </c>
      <c r="P76" s="7">
        <v>0.61424017003188103</v>
      </c>
      <c r="Q76" s="4">
        <v>30</v>
      </c>
      <c r="R76" s="6">
        <v>45775</v>
      </c>
      <c r="S76" s="6">
        <v>45778</v>
      </c>
      <c r="T76" s="6">
        <v>46688</v>
      </c>
      <c r="U76" s="6">
        <v>46054</v>
      </c>
      <c r="V76" s="37" t="b">
        <f>DATA!$C76 = "First"</f>
        <v>1</v>
      </c>
      <c r="W76" s="37" t="b">
        <f>DATA!$U76 &gt;= DATE(2026, 1, 1) - 30</f>
        <v>1</v>
      </c>
      <c r="X76" s="37" t="b">
        <f>DATA!$J76 &lt;= 800000</f>
        <v>1</v>
      </c>
      <c r="Y76" s="37" t="b">
        <f>AND(DATA!$R76 &gt;= DATE(2026,1,1) - 360, DATA!$R76 &lt;=DATE(2026,1,1))</f>
        <v>1</v>
      </c>
      <c r="Z76" s="37" t="b">
        <f>AND(DATA!$K76 &gt;= DATE(2026,1,1) - 60, DATA!$K76 &lt;= DATE(2026,1,1))</f>
        <v>1</v>
      </c>
      <c r="AA76" s="4" t="s">
        <v>32</v>
      </c>
    </row>
    <row r="77" spans="1:27" ht="15.75" customHeight="1">
      <c r="A77" s="4">
        <v>76</v>
      </c>
      <c r="B77" s="4" t="s">
        <v>27</v>
      </c>
      <c r="C77" s="4" t="s">
        <v>28</v>
      </c>
      <c r="D77" s="4" t="s">
        <v>213</v>
      </c>
      <c r="E77" s="4" t="s">
        <v>125</v>
      </c>
      <c r="F77" s="4" t="s">
        <v>69</v>
      </c>
      <c r="G77" s="4">
        <v>94558</v>
      </c>
      <c r="H77" s="4">
        <v>1</v>
      </c>
      <c r="I77" s="4">
        <v>1</v>
      </c>
      <c r="J77" s="5">
        <v>582000</v>
      </c>
      <c r="K77" s="6">
        <v>45648</v>
      </c>
      <c r="L77" s="5">
        <v>984000</v>
      </c>
      <c r="M77" s="6">
        <v>45301</v>
      </c>
      <c r="N77" s="5">
        <v>777000</v>
      </c>
      <c r="O77" s="7">
        <v>0.59146341463414631</v>
      </c>
      <c r="P77" s="7">
        <v>0.74903474903474898</v>
      </c>
      <c r="Q77" s="4">
        <v>24</v>
      </c>
      <c r="R77" s="6">
        <v>45409</v>
      </c>
      <c r="S77" s="6">
        <v>45413</v>
      </c>
      <c r="T77" s="6">
        <v>46139</v>
      </c>
      <c r="U77" s="6">
        <v>46054</v>
      </c>
      <c r="V77" s="37" t="b">
        <f>DATA!$C77 = "First"</f>
        <v>1</v>
      </c>
      <c r="W77" s="37" t="b">
        <f>DATA!$U77 &gt;= DATE(2026, 1, 1) - 30</f>
        <v>1</v>
      </c>
      <c r="X77" s="37" t="b">
        <f>DATA!$J77 &lt;= 800000</f>
        <v>1</v>
      </c>
      <c r="Y77" s="37" t="b">
        <f>AND(DATA!$R77 &gt;= DATE(2026,1,1) - 360, DATA!$R77 &lt;=DATE(2026,1,1))</f>
        <v>0</v>
      </c>
      <c r="Z77" s="37" t="b">
        <f>AND(DATA!$K77 &gt;= DATE(2026,1,1) - 60, DATA!$K77 &lt;= DATE(2026,1,1))</f>
        <v>0</v>
      </c>
      <c r="AA77" s="4" t="s">
        <v>36</v>
      </c>
    </row>
    <row r="78" spans="1:27" ht="15.75" customHeight="1">
      <c r="A78" s="4">
        <v>77</v>
      </c>
      <c r="B78" s="4" t="s">
        <v>27</v>
      </c>
      <c r="C78" s="4" t="s">
        <v>28</v>
      </c>
      <c r="D78" s="4" t="s">
        <v>214</v>
      </c>
      <c r="E78" s="4" t="s">
        <v>127</v>
      </c>
      <c r="F78" s="4" t="s">
        <v>69</v>
      </c>
      <c r="G78" s="4">
        <v>95476</v>
      </c>
      <c r="H78" s="4">
        <v>1</v>
      </c>
      <c r="I78" s="4">
        <v>12</v>
      </c>
      <c r="J78" s="5">
        <v>380000</v>
      </c>
      <c r="K78" s="6">
        <v>45655</v>
      </c>
      <c r="L78" s="5">
        <v>529000</v>
      </c>
      <c r="M78" s="6">
        <v>45462</v>
      </c>
      <c r="N78" s="5">
        <v>480000</v>
      </c>
      <c r="O78" s="7">
        <v>0.71833648393194705</v>
      </c>
      <c r="P78" s="7">
        <v>0.79166666666666663</v>
      </c>
      <c r="Q78" s="4">
        <v>24</v>
      </c>
      <c r="R78" s="6">
        <v>45563</v>
      </c>
      <c r="S78" s="6">
        <v>45566</v>
      </c>
      <c r="T78" s="6">
        <v>46293</v>
      </c>
      <c r="U78" s="6">
        <v>46054</v>
      </c>
      <c r="V78" s="37" t="b">
        <f>DATA!$C78 = "First"</f>
        <v>1</v>
      </c>
      <c r="W78" s="37" t="b">
        <f>DATA!$U78 &gt;= DATE(2026, 1, 1) - 30</f>
        <v>1</v>
      </c>
      <c r="X78" s="37" t="b">
        <f>DATA!$J78 &lt;= 800000</f>
        <v>1</v>
      </c>
      <c r="Y78" s="37" t="b">
        <f>AND(DATA!$R78 &gt;= DATE(2026,1,1) - 360, DATA!$R78 &lt;=DATE(2026,1,1))</f>
        <v>0</v>
      </c>
      <c r="Z78" s="37" t="b">
        <f>AND(DATA!$K78 &gt;= DATE(2026,1,1) - 60, DATA!$K78 &lt;= DATE(2026,1,1))</f>
        <v>0</v>
      </c>
      <c r="AA78" s="4" t="s">
        <v>36</v>
      </c>
    </row>
    <row r="79" spans="1:27" ht="15.75" customHeight="1">
      <c r="A79" s="4">
        <v>78</v>
      </c>
      <c r="B79" s="4" t="s">
        <v>27</v>
      </c>
      <c r="C79" s="4" t="s">
        <v>28</v>
      </c>
      <c r="D79" s="4" t="s">
        <v>215</v>
      </c>
      <c r="E79" s="4" t="s">
        <v>216</v>
      </c>
      <c r="F79" s="4" t="s">
        <v>69</v>
      </c>
      <c r="G79" s="4">
        <v>94590</v>
      </c>
      <c r="H79" s="4">
        <v>1</v>
      </c>
      <c r="I79" s="4">
        <v>1</v>
      </c>
      <c r="J79" s="5">
        <v>874000</v>
      </c>
      <c r="K79" s="6">
        <v>45888</v>
      </c>
      <c r="L79" s="5">
        <v>1355000</v>
      </c>
      <c r="M79" s="6">
        <v>45785</v>
      </c>
      <c r="N79" s="5">
        <v>1120000</v>
      </c>
      <c r="O79" s="7">
        <v>0.64501845018450188</v>
      </c>
      <c r="P79" s="7">
        <v>0.78035714285714286</v>
      </c>
      <c r="Q79" s="4">
        <v>60</v>
      </c>
      <c r="R79" s="6">
        <v>45809</v>
      </c>
      <c r="S79" s="6">
        <v>45839</v>
      </c>
      <c r="T79" s="6">
        <v>47635</v>
      </c>
      <c r="U79" s="6">
        <v>46054</v>
      </c>
      <c r="V79" s="37" t="b">
        <f>DATA!$C79 = "First"</f>
        <v>1</v>
      </c>
      <c r="W79" s="37" t="b">
        <f>DATA!$U79 &gt;= DATE(2026, 1, 1) - 30</f>
        <v>1</v>
      </c>
      <c r="X79" s="37" t="b">
        <f>DATA!$J79 &lt;= 800000</f>
        <v>0</v>
      </c>
      <c r="Y79" s="37" t="b">
        <f>AND(DATA!$R79 &gt;= DATE(2026,1,1) - 360, DATA!$R79 &lt;=DATE(2026,1,1))</f>
        <v>1</v>
      </c>
      <c r="Z79" s="37" t="b">
        <f>AND(DATA!$K79 &gt;= DATE(2026,1,1) - 60, DATA!$K79 &lt;= DATE(2026,1,1))</f>
        <v>0</v>
      </c>
      <c r="AA79" s="4" t="s">
        <v>36</v>
      </c>
    </row>
    <row r="80" spans="1:27" ht="15.75" customHeight="1">
      <c r="A80" s="4">
        <v>79</v>
      </c>
      <c r="B80" s="4" t="s">
        <v>27</v>
      </c>
      <c r="C80" s="4" t="s">
        <v>28</v>
      </c>
      <c r="D80" s="4" t="s">
        <v>217</v>
      </c>
      <c r="E80" s="4" t="s">
        <v>218</v>
      </c>
      <c r="F80" s="4" t="s">
        <v>69</v>
      </c>
      <c r="G80" s="4">
        <v>94533</v>
      </c>
      <c r="H80" s="4">
        <v>1</v>
      </c>
      <c r="I80" s="4">
        <v>1</v>
      </c>
      <c r="J80" s="5">
        <v>411000</v>
      </c>
      <c r="K80" s="6">
        <v>45974</v>
      </c>
      <c r="L80" s="5">
        <v>843000</v>
      </c>
      <c r="M80" s="6">
        <v>45662</v>
      </c>
      <c r="N80" s="5">
        <v>659000</v>
      </c>
      <c r="O80" s="7">
        <v>0.48754448398576511</v>
      </c>
      <c r="P80" s="7">
        <v>0.62367223065250377</v>
      </c>
      <c r="Q80" s="4">
        <v>24</v>
      </c>
      <c r="R80" s="6">
        <v>45716</v>
      </c>
      <c r="S80" s="6">
        <v>45717</v>
      </c>
      <c r="T80" s="6">
        <v>46446</v>
      </c>
      <c r="U80" s="6">
        <v>46054</v>
      </c>
      <c r="V80" s="37" t="b">
        <f>DATA!$C80 = "First"</f>
        <v>1</v>
      </c>
      <c r="W80" s="37" t="b">
        <f>DATA!$U80 &gt;= DATE(2026, 1, 1) - 30</f>
        <v>1</v>
      </c>
      <c r="X80" s="37" t="b">
        <f>DATA!$J80 &lt;= 800000</f>
        <v>1</v>
      </c>
      <c r="Y80" s="37" t="b">
        <f>AND(DATA!$R80 &gt;= DATE(2026,1,1) - 360, DATA!$R80 &lt;=DATE(2026,1,1))</f>
        <v>1</v>
      </c>
      <c r="Z80" s="37" t="b">
        <f>AND(DATA!$K80 &gt;= DATE(2026,1,1) - 60, DATA!$K80 &lt;= DATE(2026,1,1))</f>
        <v>1</v>
      </c>
      <c r="AA80" s="4" t="s">
        <v>32</v>
      </c>
    </row>
    <row r="81" spans="1:27" ht="15.75" customHeight="1">
      <c r="A81" s="4">
        <v>80</v>
      </c>
      <c r="B81" s="4" t="s">
        <v>27</v>
      </c>
      <c r="C81" s="4" t="s">
        <v>28</v>
      </c>
      <c r="D81" s="4" t="s">
        <v>219</v>
      </c>
      <c r="E81" s="4" t="s">
        <v>220</v>
      </c>
      <c r="F81" s="4" t="s">
        <v>69</v>
      </c>
      <c r="G81" s="4">
        <v>94550</v>
      </c>
      <c r="H81" s="4">
        <v>1</v>
      </c>
      <c r="I81" s="4">
        <v>5</v>
      </c>
      <c r="J81" s="5">
        <v>286000</v>
      </c>
      <c r="K81" s="6">
        <v>45580</v>
      </c>
      <c r="L81" s="5">
        <v>657000</v>
      </c>
      <c r="M81" s="6">
        <v>45360</v>
      </c>
      <c r="N81" s="5">
        <v>474000</v>
      </c>
      <c r="O81" s="7">
        <v>0.43531202435312022</v>
      </c>
      <c r="P81" s="7">
        <v>0.6033755274261603</v>
      </c>
      <c r="Q81" s="4">
        <v>60</v>
      </c>
      <c r="R81" s="6">
        <v>45432</v>
      </c>
      <c r="S81" s="6">
        <v>45444</v>
      </c>
      <c r="T81" s="6">
        <v>47258</v>
      </c>
      <c r="U81" s="6">
        <v>46054</v>
      </c>
      <c r="V81" s="37" t="b">
        <f>DATA!$C81 = "First"</f>
        <v>1</v>
      </c>
      <c r="W81" s="37" t="b">
        <f>DATA!$U81 &gt;= DATE(2026, 1, 1) - 30</f>
        <v>1</v>
      </c>
      <c r="X81" s="37" t="b">
        <f>DATA!$J81 &lt;= 800000</f>
        <v>1</v>
      </c>
      <c r="Y81" s="37" t="b">
        <f>AND(DATA!$R81 &gt;= DATE(2026,1,1) - 360, DATA!$R81 &lt;=DATE(2026,1,1))</f>
        <v>0</v>
      </c>
      <c r="Z81" s="37" t="b">
        <f>AND(DATA!$K81 &gt;= DATE(2026,1,1) - 60, DATA!$K81 &lt;= DATE(2026,1,1))</f>
        <v>0</v>
      </c>
      <c r="AA81" s="4" t="s">
        <v>36</v>
      </c>
    </row>
    <row r="82" spans="1:27" ht="15.75" customHeight="1">
      <c r="A82" s="4">
        <v>81</v>
      </c>
      <c r="B82" s="4" t="s">
        <v>27</v>
      </c>
      <c r="C82" s="4" t="s">
        <v>221</v>
      </c>
      <c r="D82" s="4" t="s">
        <v>222</v>
      </c>
      <c r="E82" s="4" t="s">
        <v>223</v>
      </c>
      <c r="F82" s="4" t="s">
        <v>69</v>
      </c>
      <c r="G82" s="4">
        <v>94566</v>
      </c>
      <c r="H82" s="4">
        <v>1</v>
      </c>
      <c r="I82" s="4">
        <v>8</v>
      </c>
      <c r="J82" s="5">
        <v>417000</v>
      </c>
      <c r="K82" s="6">
        <v>45609</v>
      </c>
      <c r="L82" s="5">
        <v>552000</v>
      </c>
      <c r="M82" s="6">
        <v>45336</v>
      </c>
      <c r="N82" s="5">
        <v>505000</v>
      </c>
      <c r="O82" s="7">
        <v>0.75543478260869568</v>
      </c>
      <c r="P82" s="7">
        <v>0.8257425742574257</v>
      </c>
      <c r="Q82" s="4">
        <v>30</v>
      </c>
      <c r="R82" s="6">
        <v>45374</v>
      </c>
      <c r="S82" s="6">
        <v>45383</v>
      </c>
      <c r="T82" s="6">
        <v>46288</v>
      </c>
      <c r="U82" s="6">
        <v>46054</v>
      </c>
      <c r="V82" s="37" t="b">
        <f>DATA!$C82 = "First"</f>
        <v>0</v>
      </c>
      <c r="W82" s="37" t="b">
        <f>DATA!$U82 &gt;= DATE(2026, 1, 1) - 30</f>
        <v>1</v>
      </c>
      <c r="X82" s="37" t="b">
        <f>DATA!$J82 &lt;= 800000</f>
        <v>1</v>
      </c>
      <c r="Y82" s="37" t="b">
        <f>AND(DATA!$R82 &gt;= DATE(2026,1,1) - 360, DATA!$R82 &lt;=DATE(2026,1,1))</f>
        <v>0</v>
      </c>
      <c r="Z82" s="37" t="b">
        <f>AND(DATA!$K82 &gt;= DATE(2026,1,1) - 60, DATA!$K82 &lt;= DATE(2026,1,1))</f>
        <v>0</v>
      </c>
      <c r="AA82" s="4" t="s">
        <v>36</v>
      </c>
    </row>
    <row r="83" spans="1:27" ht="15.75" customHeight="1">
      <c r="A83" s="4">
        <v>82</v>
      </c>
      <c r="B83" s="4" t="s">
        <v>27</v>
      </c>
      <c r="C83" s="4" t="s">
        <v>221</v>
      </c>
      <c r="D83" s="4" t="s">
        <v>224</v>
      </c>
      <c r="E83" s="4" t="s">
        <v>225</v>
      </c>
      <c r="F83" s="4" t="s">
        <v>69</v>
      </c>
      <c r="G83" s="4">
        <v>94526</v>
      </c>
      <c r="H83" s="4">
        <v>1</v>
      </c>
      <c r="I83" s="4">
        <v>1</v>
      </c>
      <c r="J83" s="5">
        <v>671000</v>
      </c>
      <c r="K83" s="6">
        <v>45984</v>
      </c>
      <c r="L83" s="5">
        <v>998000</v>
      </c>
      <c r="M83" s="6">
        <v>45788</v>
      </c>
      <c r="N83" s="5">
        <v>793000</v>
      </c>
      <c r="O83" s="7">
        <v>0.67234468937875747</v>
      </c>
      <c r="P83" s="7">
        <v>0.84615384615384615</v>
      </c>
      <c r="Q83" s="4">
        <v>48</v>
      </c>
      <c r="R83" s="6">
        <v>45798</v>
      </c>
      <c r="S83" s="6">
        <v>45809</v>
      </c>
      <c r="T83" s="6">
        <v>47259</v>
      </c>
      <c r="U83" s="6">
        <v>46054</v>
      </c>
      <c r="V83" s="37" t="b">
        <f>DATA!$C83 = "First"</f>
        <v>0</v>
      </c>
      <c r="W83" s="37" t="b">
        <f>DATA!$U83 &gt;= DATE(2026, 1, 1) - 30</f>
        <v>1</v>
      </c>
      <c r="X83" s="37" t="b">
        <f>DATA!$J83 &lt;= 800000</f>
        <v>1</v>
      </c>
      <c r="Y83" s="37" t="b">
        <f>AND(DATA!$R83 &gt;= DATE(2026,1,1) - 360, DATA!$R83 &lt;=DATE(2026,1,1))</f>
        <v>1</v>
      </c>
      <c r="Z83" s="37" t="b">
        <f>AND(DATA!$K83 &gt;= DATE(2026,1,1) - 60, DATA!$K83 &lt;= DATE(2026,1,1))</f>
        <v>1</v>
      </c>
      <c r="AA83" s="4" t="s">
        <v>36</v>
      </c>
    </row>
    <row r="84" spans="1:27" ht="15.75" customHeight="1">
      <c r="A84" s="4">
        <v>83</v>
      </c>
      <c r="B84" s="4" t="s">
        <v>27</v>
      </c>
      <c r="C84" s="4" t="s">
        <v>28</v>
      </c>
      <c r="D84" s="4" t="s">
        <v>226</v>
      </c>
      <c r="E84" s="4" t="s">
        <v>227</v>
      </c>
      <c r="F84" s="4" t="s">
        <v>69</v>
      </c>
      <c r="G84" s="4">
        <v>94596</v>
      </c>
      <c r="H84" s="4">
        <v>1</v>
      </c>
      <c r="I84" s="4">
        <v>1</v>
      </c>
      <c r="J84" s="5">
        <v>904000</v>
      </c>
      <c r="K84" s="6">
        <v>45990</v>
      </c>
      <c r="L84" s="5">
        <v>1327000</v>
      </c>
      <c r="M84" s="6">
        <v>45768</v>
      </c>
      <c r="N84" s="5">
        <v>1100000</v>
      </c>
      <c r="O84" s="7">
        <v>0.68123587038432554</v>
      </c>
      <c r="P84" s="7">
        <v>0.82181818181818178</v>
      </c>
      <c r="Q84" s="4">
        <v>30</v>
      </c>
      <c r="R84" s="6">
        <v>45839</v>
      </c>
      <c r="S84" s="6">
        <v>45870</v>
      </c>
      <c r="T84" s="6">
        <v>46753</v>
      </c>
      <c r="U84" s="6">
        <v>46054</v>
      </c>
      <c r="V84" s="37" t="b">
        <f>DATA!$C84 = "First"</f>
        <v>1</v>
      </c>
      <c r="W84" s="37" t="b">
        <f>DATA!$U84 &gt;= DATE(2026, 1, 1) - 30</f>
        <v>1</v>
      </c>
      <c r="X84" s="37" t="b">
        <f>DATA!$J84 &lt;= 800000</f>
        <v>0</v>
      </c>
      <c r="Y84" s="37" t="b">
        <f>AND(DATA!$R84 &gt;= DATE(2026,1,1) - 360, DATA!$R84 &lt;=DATE(2026,1,1))</f>
        <v>1</v>
      </c>
      <c r="Z84" s="37" t="b">
        <f>AND(DATA!$K84 &gt;= DATE(2026,1,1) - 60, DATA!$K84 &lt;= DATE(2026,1,1))</f>
        <v>1</v>
      </c>
      <c r="AA84" s="4" t="s">
        <v>36</v>
      </c>
    </row>
    <row r="85" spans="1:27" ht="15.75" customHeight="1">
      <c r="A85" s="4">
        <v>84</v>
      </c>
      <c r="B85" s="4" t="s">
        <v>27</v>
      </c>
      <c r="C85" s="4" t="s">
        <v>28</v>
      </c>
      <c r="D85" s="4" t="s">
        <v>228</v>
      </c>
      <c r="E85" s="4" t="s">
        <v>229</v>
      </c>
      <c r="F85" s="4" t="s">
        <v>69</v>
      </c>
      <c r="G85" s="4">
        <v>94549</v>
      </c>
      <c r="H85" s="4">
        <v>1</v>
      </c>
      <c r="I85" s="4">
        <v>1</v>
      </c>
      <c r="J85" s="5">
        <v>636000</v>
      </c>
      <c r="K85" s="6">
        <v>45937</v>
      </c>
      <c r="L85" s="5">
        <v>1297000</v>
      </c>
      <c r="M85" s="6">
        <v>45669</v>
      </c>
      <c r="N85" s="5">
        <v>1019000</v>
      </c>
      <c r="O85" s="7">
        <v>0.49036237471087124</v>
      </c>
      <c r="P85" s="7">
        <v>0.62414131501472037</v>
      </c>
      <c r="Q85" s="4">
        <v>60</v>
      </c>
      <c r="R85" s="6">
        <v>45783</v>
      </c>
      <c r="S85" s="6">
        <v>45809</v>
      </c>
      <c r="T85" s="6">
        <v>47609</v>
      </c>
      <c r="U85" s="6">
        <v>46054</v>
      </c>
      <c r="V85" s="37" t="b">
        <f>DATA!$C85 = "First"</f>
        <v>1</v>
      </c>
      <c r="W85" s="37" t="b">
        <f>DATA!$U85 &gt;= DATE(2026, 1, 1) - 30</f>
        <v>1</v>
      </c>
      <c r="X85" s="37" t="b">
        <f>DATA!$J85 &lt;= 800000</f>
        <v>1</v>
      </c>
      <c r="Y85" s="37" t="b">
        <f>AND(DATA!$R85 &gt;= DATE(2026,1,1) - 360, DATA!$R85 &lt;=DATE(2026,1,1))</f>
        <v>1</v>
      </c>
      <c r="Z85" s="37" t="b">
        <f>AND(DATA!$K85 &gt;= DATE(2026,1,1) - 60, DATA!$K85 &lt;= DATE(2026,1,1))</f>
        <v>0</v>
      </c>
      <c r="AA85" s="4" t="s">
        <v>36</v>
      </c>
    </row>
    <row r="86" spans="1:27" ht="15.75" customHeight="1">
      <c r="A86" s="4">
        <v>85</v>
      </c>
      <c r="B86" s="4" t="s">
        <v>27</v>
      </c>
      <c r="C86" s="4" t="s">
        <v>28</v>
      </c>
      <c r="D86" s="4" t="s">
        <v>230</v>
      </c>
      <c r="E86" s="4" t="s">
        <v>231</v>
      </c>
      <c r="F86" s="4" t="s">
        <v>69</v>
      </c>
      <c r="G86" s="4">
        <v>94563</v>
      </c>
      <c r="H86" s="4">
        <v>1</v>
      </c>
      <c r="I86" s="4">
        <v>2</v>
      </c>
      <c r="J86" s="5">
        <v>362000</v>
      </c>
      <c r="K86" s="6">
        <v>46011</v>
      </c>
      <c r="L86" s="5">
        <v>690000</v>
      </c>
      <c r="M86" s="6">
        <v>45845</v>
      </c>
      <c r="N86" s="5">
        <v>531000</v>
      </c>
      <c r="O86" s="7">
        <v>0.52463768115942033</v>
      </c>
      <c r="P86" s="7">
        <v>0.68173258003766479</v>
      </c>
      <c r="Q86" s="4">
        <v>30</v>
      </c>
      <c r="R86" s="6">
        <v>45964</v>
      </c>
      <c r="S86" s="6">
        <v>45992</v>
      </c>
      <c r="T86" s="6">
        <v>46876</v>
      </c>
      <c r="U86" s="6">
        <v>46054</v>
      </c>
      <c r="V86" s="37" t="b">
        <f>DATA!$C86 = "First"</f>
        <v>1</v>
      </c>
      <c r="W86" s="37" t="b">
        <f>DATA!$U86 &gt;= DATE(2026, 1, 1) - 30</f>
        <v>1</v>
      </c>
      <c r="X86" s="37" t="b">
        <f>DATA!$J86 &lt;= 800000</f>
        <v>1</v>
      </c>
      <c r="Y86" s="37" t="b">
        <f>AND(DATA!$R86 &gt;= DATE(2026,1,1) - 360, DATA!$R86 &lt;=DATE(2026,1,1))</f>
        <v>1</v>
      </c>
      <c r="Z86" s="37" t="b">
        <f>AND(DATA!$K86 &gt;= DATE(2026,1,1) - 60, DATA!$K86 &lt;= DATE(2026,1,1))</f>
        <v>1</v>
      </c>
      <c r="AA86" s="4" t="s">
        <v>32</v>
      </c>
    </row>
    <row r="87" spans="1:27" ht="15.75" customHeight="1">
      <c r="A87" s="4">
        <v>86</v>
      </c>
      <c r="B87" s="4" t="s">
        <v>27</v>
      </c>
      <c r="C87" s="4" t="s">
        <v>28</v>
      </c>
      <c r="D87" s="4" t="s">
        <v>232</v>
      </c>
      <c r="E87" s="4" t="s">
        <v>233</v>
      </c>
      <c r="F87" s="4" t="s">
        <v>69</v>
      </c>
      <c r="G87" s="4">
        <v>94556</v>
      </c>
      <c r="H87" s="4">
        <v>1</v>
      </c>
      <c r="I87" s="4">
        <v>25</v>
      </c>
      <c r="J87" s="5">
        <v>829000</v>
      </c>
      <c r="K87" s="6">
        <v>45794</v>
      </c>
      <c r="L87" s="5">
        <v>1279000</v>
      </c>
      <c r="M87" s="6">
        <v>45567</v>
      </c>
      <c r="N87" s="5">
        <v>1164000</v>
      </c>
      <c r="O87" s="7">
        <v>0.6481626270523847</v>
      </c>
      <c r="P87" s="7">
        <v>0.71219931271477666</v>
      </c>
      <c r="Q87" s="4">
        <v>30</v>
      </c>
      <c r="R87" s="6">
        <v>45666</v>
      </c>
      <c r="S87" s="6">
        <v>45689</v>
      </c>
      <c r="T87" s="6">
        <v>46577</v>
      </c>
      <c r="U87" s="6">
        <v>46054</v>
      </c>
      <c r="V87" s="37" t="b">
        <f>DATA!$C87 = "First"</f>
        <v>1</v>
      </c>
      <c r="W87" s="37" t="b">
        <f>DATA!$U87 &gt;= DATE(2026, 1, 1) - 30</f>
        <v>1</v>
      </c>
      <c r="X87" s="37" t="b">
        <f>DATA!$J87 &lt;= 800000</f>
        <v>0</v>
      </c>
      <c r="Y87" s="37" t="b">
        <f>AND(DATA!$R87 &gt;= DATE(2026,1,1) - 360, DATA!$R87 &lt;=DATE(2026,1,1))</f>
        <v>1</v>
      </c>
      <c r="Z87" s="37" t="b">
        <f>AND(DATA!$K87 &gt;= DATE(2026,1,1) - 60, DATA!$K87 &lt;= DATE(2026,1,1))</f>
        <v>0</v>
      </c>
      <c r="AA87" s="4" t="s">
        <v>36</v>
      </c>
    </row>
    <row r="88" spans="1:27" ht="15.75" customHeight="1">
      <c r="A88" s="4">
        <v>87</v>
      </c>
      <c r="B88" s="4" t="s">
        <v>27</v>
      </c>
      <c r="C88" s="4" t="s">
        <v>28</v>
      </c>
      <c r="D88" s="4" t="s">
        <v>234</v>
      </c>
      <c r="E88" s="4" t="s">
        <v>235</v>
      </c>
      <c r="F88" s="4" t="s">
        <v>69</v>
      </c>
      <c r="G88" s="4">
        <v>94583</v>
      </c>
      <c r="H88" s="4">
        <v>1</v>
      </c>
      <c r="I88" s="4">
        <v>1</v>
      </c>
      <c r="J88" s="5">
        <v>212000</v>
      </c>
      <c r="K88" s="6">
        <v>45615</v>
      </c>
      <c r="L88" s="5">
        <v>367000</v>
      </c>
      <c r="M88" s="6">
        <v>45353</v>
      </c>
      <c r="N88" s="5">
        <v>315000</v>
      </c>
      <c r="O88" s="7">
        <v>0.57765667574931878</v>
      </c>
      <c r="P88" s="7">
        <v>0.67301587301587307</v>
      </c>
      <c r="Q88" s="4">
        <v>48</v>
      </c>
      <c r="R88" s="6">
        <v>45479</v>
      </c>
      <c r="S88" s="6">
        <v>45505</v>
      </c>
      <c r="T88" s="6">
        <v>46940</v>
      </c>
      <c r="U88" s="6">
        <v>46054</v>
      </c>
      <c r="V88" s="37" t="b">
        <f>DATA!$C88 = "First"</f>
        <v>1</v>
      </c>
      <c r="W88" s="37" t="b">
        <f>DATA!$U88 &gt;= DATE(2026, 1, 1) - 30</f>
        <v>1</v>
      </c>
      <c r="X88" s="37" t="b">
        <f>DATA!$J88 &lt;= 800000</f>
        <v>1</v>
      </c>
      <c r="Y88" s="37" t="b">
        <f>AND(DATA!$R88 &gt;= DATE(2026,1,1) - 360, DATA!$R88 &lt;=DATE(2026,1,1))</f>
        <v>0</v>
      </c>
      <c r="Z88" s="37" t="b">
        <f>AND(DATA!$K88 &gt;= DATE(2026,1,1) - 60, DATA!$K88 &lt;= DATE(2026,1,1))</f>
        <v>0</v>
      </c>
      <c r="AA88" s="4" t="s">
        <v>36</v>
      </c>
    </row>
    <row r="89" spans="1:27" ht="15.75" customHeight="1">
      <c r="A89" s="4">
        <v>88</v>
      </c>
      <c r="B89" s="4" t="s">
        <v>27</v>
      </c>
      <c r="C89" s="4" t="s">
        <v>28</v>
      </c>
      <c r="D89" s="4" t="s">
        <v>236</v>
      </c>
      <c r="E89" s="4" t="s">
        <v>237</v>
      </c>
      <c r="F89" s="4" t="s">
        <v>69</v>
      </c>
      <c r="G89" s="4">
        <v>94568</v>
      </c>
      <c r="H89" s="4">
        <v>1</v>
      </c>
      <c r="I89" s="4">
        <v>10</v>
      </c>
      <c r="J89" s="5">
        <v>745000</v>
      </c>
      <c r="K89" s="6">
        <v>45594</v>
      </c>
      <c r="L89" s="5">
        <v>1506000</v>
      </c>
      <c r="M89" s="6">
        <v>45258</v>
      </c>
      <c r="N89" s="5">
        <v>1102000</v>
      </c>
      <c r="O89" s="7">
        <v>0.49468791500664011</v>
      </c>
      <c r="P89" s="7">
        <v>0.67604355716878406</v>
      </c>
      <c r="Q89" s="4">
        <v>60</v>
      </c>
      <c r="R89" s="6">
        <v>45386</v>
      </c>
      <c r="S89" s="6">
        <v>45413</v>
      </c>
      <c r="T89" s="6">
        <v>47212</v>
      </c>
      <c r="U89" s="6">
        <v>46054</v>
      </c>
      <c r="V89" s="37" t="b">
        <f>DATA!$C89 = "First"</f>
        <v>1</v>
      </c>
      <c r="W89" s="37" t="b">
        <f>DATA!$U89 &gt;= DATE(2026, 1, 1) - 30</f>
        <v>1</v>
      </c>
      <c r="X89" s="37" t="b">
        <f>DATA!$J89 &lt;= 800000</f>
        <v>1</v>
      </c>
      <c r="Y89" s="37" t="b">
        <f>AND(DATA!$R89 &gt;= DATE(2026,1,1) - 360, DATA!$R89 &lt;=DATE(2026,1,1))</f>
        <v>0</v>
      </c>
      <c r="Z89" s="37" t="b">
        <f>AND(DATA!$K89 &gt;= DATE(2026,1,1) - 60, DATA!$K89 &lt;= DATE(2026,1,1))</f>
        <v>0</v>
      </c>
      <c r="AA89" s="4" t="s">
        <v>36</v>
      </c>
    </row>
    <row r="90" spans="1:27" ht="15.75" customHeight="1">
      <c r="A90" s="4">
        <v>89</v>
      </c>
      <c r="B90" s="4" t="s">
        <v>27</v>
      </c>
      <c r="C90" s="4" t="s">
        <v>28</v>
      </c>
      <c r="D90" s="4" t="s">
        <v>238</v>
      </c>
      <c r="E90" s="4" t="s">
        <v>239</v>
      </c>
      <c r="F90" s="4" t="s">
        <v>69</v>
      </c>
      <c r="G90" s="4">
        <v>94608</v>
      </c>
      <c r="H90" s="4">
        <v>1</v>
      </c>
      <c r="I90" s="4">
        <v>1</v>
      </c>
      <c r="J90" s="5">
        <v>443000</v>
      </c>
      <c r="K90" s="6">
        <v>45565</v>
      </c>
      <c r="L90" s="5">
        <v>882000</v>
      </c>
      <c r="M90" s="6">
        <v>45310</v>
      </c>
      <c r="N90" s="5">
        <v>639000</v>
      </c>
      <c r="O90" s="7">
        <v>0.50226757369614516</v>
      </c>
      <c r="P90" s="7">
        <v>0.69327073552425666</v>
      </c>
      <c r="Q90" s="4">
        <v>36</v>
      </c>
      <c r="R90" s="6">
        <v>45343</v>
      </c>
      <c r="S90" s="6">
        <v>45352</v>
      </c>
      <c r="T90" s="6">
        <v>46439</v>
      </c>
      <c r="U90" s="6">
        <v>45992</v>
      </c>
      <c r="V90" s="37" t="b">
        <f>DATA!$C90 = "First"</f>
        <v>1</v>
      </c>
      <c r="W90" s="37" t="b">
        <f>DATA!$U90 &gt;= DATE(2026, 1, 1) - 30</f>
        <v>0</v>
      </c>
      <c r="X90" s="37" t="b">
        <f>DATA!$J90 &lt;= 800000</f>
        <v>1</v>
      </c>
      <c r="Y90" s="37" t="b">
        <f>AND(DATA!$R90 &gt;= DATE(2026,1,1) - 360, DATA!$R90 &lt;=DATE(2026,1,1))</f>
        <v>0</v>
      </c>
      <c r="Z90" s="37" t="b">
        <f>AND(DATA!$K90 &gt;= DATE(2026,1,1) - 60, DATA!$K90 &lt;= DATE(2026,1,1))</f>
        <v>0</v>
      </c>
      <c r="AA90" s="4" t="s">
        <v>36</v>
      </c>
    </row>
    <row r="91" spans="1:27" ht="15.75" customHeight="1">
      <c r="A91" s="4">
        <v>90</v>
      </c>
      <c r="B91" s="4" t="s">
        <v>27</v>
      </c>
      <c r="C91" s="4" t="s">
        <v>28</v>
      </c>
      <c r="D91" s="4" t="s">
        <v>240</v>
      </c>
      <c r="E91" s="4" t="s">
        <v>241</v>
      </c>
      <c r="F91" s="4" t="s">
        <v>69</v>
      </c>
      <c r="G91" s="4">
        <v>94706</v>
      </c>
      <c r="H91" s="4">
        <v>1</v>
      </c>
      <c r="I91" s="4">
        <v>5</v>
      </c>
      <c r="J91" s="5">
        <v>620000</v>
      </c>
      <c r="K91" s="6">
        <v>45981</v>
      </c>
      <c r="L91" s="5">
        <v>994000</v>
      </c>
      <c r="M91" s="6">
        <v>45649</v>
      </c>
      <c r="N91" s="5">
        <v>801000</v>
      </c>
      <c r="O91" s="7">
        <v>0.6237424547283702</v>
      </c>
      <c r="P91" s="7">
        <v>0.77403245942571786</v>
      </c>
      <c r="Q91" s="4">
        <v>60</v>
      </c>
      <c r="R91" s="6">
        <v>45722</v>
      </c>
      <c r="S91" s="6">
        <v>45748</v>
      </c>
      <c r="T91" s="6">
        <v>47548</v>
      </c>
      <c r="U91" s="6">
        <v>45992</v>
      </c>
      <c r="V91" s="37" t="b">
        <f>DATA!$C91 = "First"</f>
        <v>1</v>
      </c>
      <c r="W91" s="37" t="b">
        <f>DATA!$U91 &gt;= DATE(2026, 1, 1) - 30</f>
        <v>0</v>
      </c>
      <c r="X91" s="37" t="b">
        <f>DATA!$J91 &lt;= 800000</f>
        <v>1</v>
      </c>
      <c r="Y91" s="37" t="b">
        <f>AND(DATA!$R91 &gt;= DATE(2026,1,1) - 360, DATA!$R91 &lt;=DATE(2026,1,1))</f>
        <v>1</v>
      </c>
      <c r="Z91" s="37" t="b">
        <f>AND(DATA!$K91 &gt;= DATE(2026,1,1) - 60, DATA!$K91 &lt;= DATE(2026,1,1))</f>
        <v>1</v>
      </c>
      <c r="AA91" s="4" t="s">
        <v>36</v>
      </c>
    </row>
    <row r="92" spans="1:27" ht="15.75" customHeight="1">
      <c r="A92" s="4">
        <v>91</v>
      </c>
      <c r="B92" s="4" t="s">
        <v>27</v>
      </c>
      <c r="C92" s="4" t="s">
        <v>28</v>
      </c>
      <c r="D92" s="4" t="s">
        <v>242</v>
      </c>
      <c r="E92" s="4" t="s">
        <v>243</v>
      </c>
      <c r="F92" s="4" t="s">
        <v>69</v>
      </c>
      <c r="G92" s="4">
        <v>94530</v>
      </c>
      <c r="H92" s="4">
        <v>1</v>
      </c>
      <c r="I92" s="4">
        <v>1</v>
      </c>
      <c r="J92" s="5">
        <v>300000</v>
      </c>
      <c r="K92" s="6">
        <v>45664</v>
      </c>
      <c r="L92" s="5">
        <v>578000</v>
      </c>
      <c r="M92" s="6">
        <v>45492</v>
      </c>
      <c r="N92" s="5">
        <v>474000</v>
      </c>
      <c r="O92" s="7">
        <v>0.51903114186851207</v>
      </c>
      <c r="P92" s="7">
        <v>0.63291139240506333</v>
      </c>
      <c r="Q92" s="4">
        <v>48</v>
      </c>
      <c r="R92" s="6">
        <v>45548</v>
      </c>
      <c r="S92" s="6">
        <v>45566</v>
      </c>
      <c r="T92" s="6">
        <v>47009</v>
      </c>
      <c r="U92" s="6">
        <v>46054</v>
      </c>
      <c r="V92" s="37" t="b">
        <f>DATA!$C92 = "First"</f>
        <v>1</v>
      </c>
      <c r="W92" s="37" t="b">
        <f>DATA!$U92 &gt;= DATE(2026, 1, 1) - 30</f>
        <v>1</v>
      </c>
      <c r="X92" s="37" t="b">
        <f>DATA!$J92 &lt;= 800000</f>
        <v>1</v>
      </c>
      <c r="Y92" s="37" t="b">
        <f>AND(DATA!$R92 &gt;= DATE(2026,1,1) - 360, DATA!$R92 &lt;=DATE(2026,1,1))</f>
        <v>0</v>
      </c>
      <c r="Z92" s="37" t="b">
        <f>AND(DATA!$K92 &gt;= DATE(2026,1,1) - 60, DATA!$K92 &lt;= DATE(2026,1,1))</f>
        <v>0</v>
      </c>
      <c r="AA92" s="4" t="s">
        <v>36</v>
      </c>
    </row>
    <row r="93" spans="1:27" ht="15.75" customHeight="1">
      <c r="A93" s="4">
        <v>92</v>
      </c>
      <c r="B93" s="4" t="s">
        <v>27</v>
      </c>
      <c r="C93" s="4" t="s">
        <v>28</v>
      </c>
      <c r="D93" s="4" t="s">
        <v>244</v>
      </c>
      <c r="E93" s="4" t="s">
        <v>245</v>
      </c>
      <c r="F93" s="4" t="s">
        <v>69</v>
      </c>
      <c r="G93" s="4">
        <v>94801</v>
      </c>
      <c r="H93" s="4">
        <v>1</v>
      </c>
      <c r="I93" s="4">
        <v>1</v>
      </c>
      <c r="J93" s="5">
        <v>766000</v>
      </c>
      <c r="K93" s="6">
        <v>45903</v>
      </c>
      <c r="L93" s="5">
        <v>1215000</v>
      </c>
      <c r="M93" s="6">
        <v>45599</v>
      </c>
      <c r="N93" s="5">
        <v>1110000</v>
      </c>
      <c r="O93" s="7">
        <v>0.63045267489711931</v>
      </c>
      <c r="P93" s="7">
        <v>0.69009009009009004</v>
      </c>
      <c r="Q93" s="4">
        <v>60</v>
      </c>
      <c r="R93" s="6">
        <v>45737</v>
      </c>
      <c r="S93" s="6">
        <v>45748</v>
      </c>
      <c r="T93" s="6">
        <v>47563</v>
      </c>
      <c r="U93" s="6">
        <v>46054</v>
      </c>
      <c r="V93" s="37" t="b">
        <f>DATA!$C93 = "First"</f>
        <v>1</v>
      </c>
      <c r="W93" s="37" t="b">
        <f>DATA!$U93 &gt;= DATE(2026, 1, 1) - 30</f>
        <v>1</v>
      </c>
      <c r="X93" s="37" t="b">
        <f>DATA!$J93 &lt;= 800000</f>
        <v>1</v>
      </c>
      <c r="Y93" s="37" t="b">
        <f>AND(DATA!$R93 &gt;= DATE(2026,1,1) - 360, DATA!$R93 &lt;=DATE(2026,1,1))</f>
        <v>1</v>
      </c>
      <c r="Z93" s="37" t="b">
        <f>AND(DATA!$K93 &gt;= DATE(2026,1,1) - 60, DATA!$K93 &lt;= DATE(2026,1,1))</f>
        <v>0</v>
      </c>
      <c r="AA93" s="4" t="s">
        <v>36</v>
      </c>
    </row>
    <row r="94" spans="1:27" ht="15.75" customHeight="1">
      <c r="A94" s="4">
        <v>93</v>
      </c>
      <c r="B94" s="4" t="s">
        <v>27</v>
      </c>
      <c r="C94" s="4" t="s">
        <v>28</v>
      </c>
      <c r="D94" s="4" t="s">
        <v>246</v>
      </c>
      <c r="E94" s="4" t="s">
        <v>247</v>
      </c>
      <c r="F94" s="4" t="s">
        <v>69</v>
      </c>
      <c r="G94" s="4">
        <v>94607</v>
      </c>
      <c r="H94" s="4">
        <v>1</v>
      </c>
      <c r="I94" s="4">
        <v>1</v>
      </c>
      <c r="J94" s="5">
        <v>616000</v>
      </c>
      <c r="K94" s="6">
        <v>45414</v>
      </c>
      <c r="L94" s="5">
        <v>907000</v>
      </c>
      <c r="M94" s="6">
        <v>45270</v>
      </c>
      <c r="N94" s="5">
        <v>856000</v>
      </c>
      <c r="O94" s="7">
        <v>0.67916207276736495</v>
      </c>
      <c r="P94" s="7">
        <v>0.71962616822429903</v>
      </c>
      <c r="Q94" s="4">
        <v>48</v>
      </c>
      <c r="R94" s="6">
        <v>45350</v>
      </c>
      <c r="S94" s="6">
        <v>45352</v>
      </c>
      <c r="T94" s="6">
        <v>46811</v>
      </c>
      <c r="U94" s="6">
        <v>46054</v>
      </c>
      <c r="V94" s="37" t="b">
        <f>DATA!$C94 = "First"</f>
        <v>1</v>
      </c>
      <c r="W94" s="37" t="b">
        <f>DATA!$U94 &gt;= DATE(2026, 1, 1) - 30</f>
        <v>1</v>
      </c>
      <c r="X94" s="37" t="b">
        <f>DATA!$J94 &lt;= 800000</f>
        <v>1</v>
      </c>
      <c r="Y94" s="37" t="b">
        <f>AND(DATA!$R94 &gt;= DATE(2026,1,1) - 360, DATA!$R94 &lt;=DATE(2026,1,1))</f>
        <v>0</v>
      </c>
      <c r="Z94" s="37" t="b">
        <f>AND(DATA!$K94 &gt;= DATE(2026,1,1) - 60, DATA!$K94 &lt;= DATE(2026,1,1))</f>
        <v>0</v>
      </c>
      <c r="AA94" s="4" t="s">
        <v>36</v>
      </c>
    </row>
    <row r="95" spans="1:27" ht="15.75" customHeight="1">
      <c r="A95" s="4">
        <v>94</v>
      </c>
      <c r="B95" s="4" t="s">
        <v>27</v>
      </c>
      <c r="C95" s="4" t="s">
        <v>221</v>
      </c>
      <c r="D95" s="4" t="s">
        <v>248</v>
      </c>
      <c r="E95" s="4" t="s">
        <v>249</v>
      </c>
      <c r="F95" s="4" t="s">
        <v>250</v>
      </c>
      <c r="G95" s="4">
        <v>8234</v>
      </c>
      <c r="H95" s="4">
        <v>1</v>
      </c>
      <c r="I95" s="4">
        <v>1</v>
      </c>
      <c r="J95" s="5">
        <v>189000</v>
      </c>
      <c r="K95" s="6">
        <v>45908</v>
      </c>
      <c r="L95" s="5">
        <v>351000</v>
      </c>
      <c r="M95" s="6">
        <v>45661</v>
      </c>
      <c r="N95" s="5">
        <v>301000</v>
      </c>
      <c r="O95" s="7">
        <v>0.53846153846153844</v>
      </c>
      <c r="P95" s="7">
        <v>0.62790697674418605</v>
      </c>
      <c r="Q95" s="4">
        <v>48</v>
      </c>
      <c r="R95" s="6">
        <v>45795</v>
      </c>
      <c r="S95" s="6">
        <v>45809</v>
      </c>
      <c r="T95" s="6">
        <v>47256</v>
      </c>
      <c r="U95" s="6">
        <v>46054</v>
      </c>
      <c r="V95" s="37" t="b">
        <f>DATA!$C95 = "First"</f>
        <v>0</v>
      </c>
      <c r="W95" s="37" t="b">
        <f>DATA!$U95 &gt;= DATE(2026, 1, 1) - 30</f>
        <v>1</v>
      </c>
      <c r="X95" s="37" t="b">
        <f>DATA!$J95 &lt;= 800000</f>
        <v>1</v>
      </c>
      <c r="Y95" s="37" t="b">
        <f>AND(DATA!$R95 &gt;= DATE(2026,1,1) - 360, DATA!$R95 &lt;=DATE(2026,1,1))</f>
        <v>1</v>
      </c>
      <c r="Z95" s="37" t="b">
        <f>AND(DATA!$K95 &gt;= DATE(2026,1,1) - 60, DATA!$K95 &lt;= DATE(2026,1,1))</f>
        <v>0</v>
      </c>
      <c r="AA95" s="4" t="s">
        <v>36</v>
      </c>
    </row>
    <row r="96" spans="1:27" ht="15.75" customHeight="1">
      <c r="A96" s="4">
        <v>95</v>
      </c>
      <c r="B96" s="4" t="s">
        <v>27</v>
      </c>
      <c r="C96" s="4" t="s">
        <v>221</v>
      </c>
      <c r="D96" s="4" t="s">
        <v>251</v>
      </c>
      <c r="E96" s="4" t="s">
        <v>41</v>
      </c>
      <c r="F96" s="4" t="s">
        <v>252</v>
      </c>
      <c r="G96" s="4">
        <v>78745</v>
      </c>
      <c r="H96" s="4">
        <v>1</v>
      </c>
      <c r="I96" s="4">
        <v>3</v>
      </c>
      <c r="J96" s="5">
        <v>414000</v>
      </c>
      <c r="K96" s="6">
        <v>45911</v>
      </c>
      <c r="L96" s="5">
        <v>716000</v>
      </c>
      <c r="M96" s="6">
        <v>45585</v>
      </c>
      <c r="N96" s="5">
        <v>534000</v>
      </c>
      <c r="O96" s="7">
        <v>0.57821229050279332</v>
      </c>
      <c r="P96" s="7">
        <v>0.7752808988764045</v>
      </c>
      <c r="Q96" s="4">
        <v>36</v>
      </c>
      <c r="R96" s="6">
        <v>45668</v>
      </c>
      <c r="S96" s="6">
        <v>45689</v>
      </c>
      <c r="T96" s="6">
        <v>46763</v>
      </c>
      <c r="U96" s="6">
        <v>46054</v>
      </c>
      <c r="V96" s="37" t="b">
        <f>DATA!$C96 = "First"</f>
        <v>0</v>
      </c>
      <c r="W96" s="37" t="b">
        <f>DATA!$U96 &gt;= DATE(2026, 1, 1) - 30</f>
        <v>1</v>
      </c>
      <c r="X96" s="37" t="b">
        <f>DATA!$J96 &lt;= 800000</f>
        <v>1</v>
      </c>
      <c r="Y96" s="37" t="b">
        <f>AND(DATA!$R96 &gt;= DATE(2026,1,1) - 360, DATA!$R96 &lt;=DATE(2026,1,1))</f>
        <v>1</v>
      </c>
      <c r="Z96" s="37" t="b">
        <f>AND(DATA!$K96 &gt;= DATE(2026,1,1) - 60, DATA!$K96 &lt;= DATE(2026,1,1))</f>
        <v>0</v>
      </c>
      <c r="AA96" s="4" t="s">
        <v>36</v>
      </c>
    </row>
    <row r="97" spans="1:27" ht="15.75" customHeight="1">
      <c r="A97" s="4">
        <v>96</v>
      </c>
      <c r="B97" s="4" t="s">
        <v>27</v>
      </c>
      <c r="C97" s="4" t="s">
        <v>221</v>
      </c>
      <c r="D97" s="4" t="s">
        <v>253</v>
      </c>
      <c r="E97" s="4" t="s">
        <v>41</v>
      </c>
      <c r="F97" s="4" t="s">
        <v>252</v>
      </c>
      <c r="G97" s="4">
        <v>78723</v>
      </c>
      <c r="H97" s="4">
        <v>1</v>
      </c>
      <c r="I97" s="4">
        <v>3</v>
      </c>
      <c r="J97" s="5">
        <v>208000</v>
      </c>
      <c r="K97" s="6">
        <v>45493</v>
      </c>
      <c r="L97" s="5">
        <v>287000</v>
      </c>
      <c r="M97" s="6">
        <v>45346</v>
      </c>
      <c r="N97" s="5">
        <v>269000</v>
      </c>
      <c r="O97" s="7">
        <v>0.72473867595818819</v>
      </c>
      <c r="P97" s="7">
        <v>0.77323420074349447</v>
      </c>
      <c r="Q97" s="4">
        <v>36</v>
      </c>
      <c r="R97" s="6">
        <v>45406</v>
      </c>
      <c r="S97" s="6">
        <v>45413</v>
      </c>
      <c r="T97" s="6">
        <v>46501</v>
      </c>
      <c r="U97" s="6">
        <v>46054</v>
      </c>
      <c r="V97" s="37" t="b">
        <f>DATA!$C97 = "First"</f>
        <v>0</v>
      </c>
      <c r="W97" s="37" t="b">
        <f>DATA!$U97 &gt;= DATE(2026, 1, 1) - 30</f>
        <v>1</v>
      </c>
      <c r="X97" s="37" t="b">
        <f>DATA!$J97 &lt;= 800000</f>
        <v>1</v>
      </c>
      <c r="Y97" s="37" t="b">
        <f>AND(DATA!$R97 &gt;= DATE(2026,1,1) - 360, DATA!$R97 &lt;=DATE(2026,1,1))</f>
        <v>0</v>
      </c>
      <c r="Z97" s="37" t="b">
        <f>AND(DATA!$K97 &gt;= DATE(2026,1,1) - 60, DATA!$K97 &lt;= DATE(2026,1,1))</f>
        <v>0</v>
      </c>
      <c r="AA97" s="4" t="s">
        <v>36</v>
      </c>
    </row>
    <row r="98" spans="1:27" ht="15.75" customHeight="1">
      <c r="A98" s="4">
        <v>97</v>
      </c>
      <c r="B98" s="4" t="s">
        <v>27</v>
      </c>
      <c r="C98" s="4" t="s">
        <v>28</v>
      </c>
      <c r="D98" s="4" t="s">
        <v>254</v>
      </c>
      <c r="E98" s="4" t="s">
        <v>41</v>
      </c>
      <c r="F98" s="4" t="s">
        <v>252</v>
      </c>
      <c r="G98" s="4">
        <v>78723</v>
      </c>
      <c r="H98" s="4">
        <v>1</v>
      </c>
      <c r="I98" s="4">
        <v>3</v>
      </c>
      <c r="J98" s="5">
        <v>878000</v>
      </c>
      <c r="K98" s="6">
        <v>46021</v>
      </c>
      <c r="L98" s="5">
        <v>1116000</v>
      </c>
      <c r="M98" s="6">
        <v>45825</v>
      </c>
      <c r="N98" s="5">
        <v>1049000</v>
      </c>
      <c r="O98" s="7">
        <v>0.78673835125448033</v>
      </c>
      <c r="P98" s="7">
        <v>0.83698760724499521</v>
      </c>
      <c r="Q98" s="4">
        <v>24</v>
      </c>
      <c r="R98" s="6">
        <v>45988</v>
      </c>
      <c r="S98" s="6">
        <v>45992</v>
      </c>
      <c r="T98" s="6">
        <v>46718</v>
      </c>
      <c r="U98" s="6">
        <v>46054</v>
      </c>
      <c r="V98" s="37" t="b">
        <f>DATA!$C98 = "First"</f>
        <v>1</v>
      </c>
      <c r="W98" s="37" t="b">
        <f>DATA!$U98 &gt;= DATE(2026, 1, 1) - 30</f>
        <v>1</v>
      </c>
      <c r="X98" s="37" t="b">
        <f>DATA!$J98 &lt;= 800000</f>
        <v>0</v>
      </c>
      <c r="Y98" s="37" t="b">
        <f>AND(DATA!$R98 &gt;= DATE(2026,1,1) - 360, DATA!$R98 &lt;=DATE(2026,1,1))</f>
        <v>1</v>
      </c>
      <c r="Z98" s="37" t="b">
        <f>AND(DATA!$K98 &gt;= DATE(2026,1,1) - 60, DATA!$K98 &lt;= DATE(2026,1,1))</f>
        <v>1</v>
      </c>
      <c r="AA98" s="4" t="s">
        <v>36</v>
      </c>
    </row>
    <row r="99" spans="1:27" ht="15.75" customHeight="1">
      <c r="A99" s="4">
        <v>98</v>
      </c>
      <c r="B99" s="4" t="s">
        <v>27</v>
      </c>
      <c r="C99" s="4" t="s">
        <v>28</v>
      </c>
      <c r="D99" s="4" t="s">
        <v>255</v>
      </c>
      <c r="E99" s="4" t="s">
        <v>256</v>
      </c>
      <c r="F99" s="4" t="s">
        <v>252</v>
      </c>
      <c r="G99" s="4">
        <v>75218</v>
      </c>
      <c r="H99" s="4">
        <v>1</v>
      </c>
      <c r="I99" s="4">
        <v>1</v>
      </c>
      <c r="J99" s="5">
        <v>528000</v>
      </c>
      <c r="K99" s="6">
        <v>45701</v>
      </c>
      <c r="L99" s="5">
        <v>969000</v>
      </c>
      <c r="M99" s="6">
        <v>45352</v>
      </c>
      <c r="N99" s="5">
        <v>886000</v>
      </c>
      <c r="O99" s="7">
        <v>0.54489164086687303</v>
      </c>
      <c r="P99" s="7">
        <v>0.59593679458239279</v>
      </c>
      <c r="Q99" s="4">
        <v>24</v>
      </c>
      <c r="R99" s="6">
        <v>45527</v>
      </c>
      <c r="S99" s="6">
        <v>45536</v>
      </c>
      <c r="T99" s="6">
        <v>46257</v>
      </c>
      <c r="U99" s="6">
        <v>46054</v>
      </c>
      <c r="V99" s="37" t="b">
        <f>DATA!$C99 = "First"</f>
        <v>1</v>
      </c>
      <c r="W99" s="37" t="b">
        <f>DATA!$U99 &gt;= DATE(2026, 1, 1) - 30</f>
        <v>1</v>
      </c>
      <c r="X99" s="37" t="b">
        <f>DATA!$J99 &lt;= 800000</f>
        <v>1</v>
      </c>
      <c r="Y99" s="37" t="b">
        <f>AND(DATA!$R99 &gt;= DATE(2026,1,1) - 360, DATA!$R99 &lt;=DATE(2026,1,1))</f>
        <v>0</v>
      </c>
      <c r="Z99" s="37" t="b">
        <f>AND(DATA!$K99 &gt;= DATE(2026,1,1) - 60, DATA!$K99 &lt;= DATE(2026,1,1))</f>
        <v>0</v>
      </c>
      <c r="AA99" s="4" t="s">
        <v>36</v>
      </c>
    </row>
    <row r="100" spans="1:27" ht="15.75" customHeight="1">
      <c r="A100" s="4">
        <v>99</v>
      </c>
      <c r="B100" s="4" t="s">
        <v>27</v>
      </c>
      <c r="C100" s="4" t="s">
        <v>28</v>
      </c>
      <c r="D100" s="4" t="s">
        <v>257</v>
      </c>
      <c r="E100" s="4" t="s">
        <v>258</v>
      </c>
      <c r="F100" s="4" t="s">
        <v>259</v>
      </c>
      <c r="G100" s="4">
        <v>98922</v>
      </c>
      <c r="H100" s="4">
        <v>1</v>
      </c>
      <c r="I100" s="4">
        <v>1</v>
      </c>
      <c r="J100" s="5">
        <v>606000</v>
      </c>
      <c r="K100" s="6">
        <v>45731</v>
      </c>
      <c r="L100" s="5">
        <v>1139000</v>
      </c>
      <c r="M100" s="6">
        <v>45485</v>
      </c>
      <c r="N100" s="5">
        <v>966000</v>
      </c>
      <c r="O100" s="7">
        <v>0.53204565408252857</v>
      </c>
      <c r="P100" s="7">
        <v>0.62732919254658381</v>
      </c>
      <c r="Q100" s="4">
        <v>60</v>
      </c>
      <c r="R100" s="6">
        <v>45546</v>
      </c>
      <c r="S100" s="6">
        <v>45566</v>
      </c>
      <c r="T100" s="6">
        <v>47372</v>
      </c>
      <c r="U100" s="6">
        <v>46054</v>
      </c>
      <c r="V100" s="37" t="b">
        <f>DATA!$C100 = "First"</f>
        <v>1</v>
      </c>
      <c r="W100" s="37" t="b">
        <f>DATA!$U100 &gt;= DATE(2026, 1, 1) - 30</f>
        <v>1</v>
      </c>
      <c r="X100" s="37" t="b">
        <f>DATA!$J100 &lt;= 800000</f>
        <v>1</v>
      </c>
      <c r="Y100" s="37" t="b">
        <f>AND(DATA!$R100 &gt;= DATE(2026,1,1) - 360, DATA!$R100 &lt;=DATE(2026,1,1))</f>
        <v>0</v>
      </c>
      <c r="Z100" s="37" t="b">
        <f>AND(DATA!$K100 &gt;= DATE(2026,1,1) - 60, DATA!$K100 &lt;= DATE(2026,1,1))</f>
        <v>0</v>
      </c>
      <c r="AA100" s="4" t="s">
        <v>36</v>
      </c>
    </row>
    <row r="101" spans="1:27" ht="15.75" customHeight="1">
      <c r="A101" s="4">
        <v>100</v>
      </c>
      <c r="B101" s="4" t="s">
        <v>27</v>
      </c>
      <c r="C101" s="4" t="s">
        <v>28</v>
      </c>
      <c r="D101" s="4" t="s">
        <v>260</v>
      </c>
      <c r="E101" s="4" t="s">
        <v>261</v>
      </c>
      <c r="F101" s="4" t="s">
        <v>130</v>
      </c>
      <c r="G101" s="4">
        <v>87102</v>
      </c>
      <c r="H101" s="4">
        <v>1</v>
      </c>
      <c r="I101" s="4">
        <v>1</v>
      </c>
      <c r="J101" s="5">
        <v>796000</v>
      </c>
      <c r="K101" s="6">
        <v>45617</v>
      </c>
      <c r="L101" s="5">
        <v>1549000</v>
      </c>
      <c r="M101" s="6">
        <v>45301</v>
      </c>
      <c r="N101" s="5">
        <v>1237000</v>
      </c>
      <c r="O101" s="7">
        <v>0.51387992253066495</v>
      </c>
      <c r="P101" s="7">
        <v>0.64349232012934521</v>
      </c>
      <c r="Q101" s="4">
        <v>36</v>
      </c>
      <c r="R101" s="6">
        <v>45440</v>
      </c>
      <c r="S101" s="6">
        <v>45444</v>
      </c>
      <c r="T101" s="6">
        <v>46535</v>
      </c>
      <c r="U101" s="6">
        <v>46054</v>
      </c>
      <c r="V101" s="37" t="b">
        <f>DATA!$C101 = "First"</f>
        <v>1</v>
      </c>
      <c r="W101" s="37" t="b">
        <f>DATA!$U101 &gt;= DATE(2026, 1, 1) - 30</f>
        <v>1</v>
      </c>
      <c r="X101" s="37" t="b">
        <f>DATA!$J101 &lt;= 800000</f>
        <v>1</v>
      </c>
      <c r="Y101" s="37" t="b">
        <f>AND(DATA!$R101 &gt;= DATE(2026,1,1) - 360, DATA!$R101 &lt;=DATE(2026,1,1))</f>
        <v>0</v>
      </c>
      <c r="Z101" s="37" t="b">
        <f>AND(DATA!$K101 &gt;= DATE(2026,1,1) - 60, DATA!$K101 &lt;= DATE(2026,1,1))</f>
        <v>0</v>
      </c>
      <c r="AA101" s="4" t="s">
        <v>36</v>
      </c>
    </row>
    <row r="102" spans="1:27" ht="15.75" customHeight="1"/>
    <row r="103" spans="1:27" ht="15.75" customHeight="1"/>
    <row r="104" spans="1:27" ht="15.75" customHeight="1"/>
    <row r="105" spans="1:27" ht="15.75" customHeight="1"/>
    <row r="106" spans="1:27" ht="15.75" customHeight="1"/>
    <row r="107" spans="1:27" ht="15.75" customHeight="1"/>
    <row r="108" spans="1:27" ht="15.75" customHeight="1"/>
    <row r="109" spans="1:27" ht="15.75" customHeight="1"/>
    <row r="110" spans="1:27" ht="15.75" customHeight="1"/>
    <row r="111" spans="1:27" ht="15.75" customHeight="1"/>
    <row r="112" spans="1:27"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A1:AA1000">
    <cfRule type="cellIs" dxfId="5" priority="3" operator="equal">
      <formula>"N"</formula>
    </cfRule>
    <cfRule type="cellIs" dxfId="4" priority="4" operator="equal">
      <formula>"Y"</formula>
    </cfRule>
  </conditionalFormatting>
  <conditionalFormatting sqref="D1:D1048576">
    <cfRule type="duplicateValues" dxfId="3" priority="2"/>
  </conditionalFormatting>
  <conditionalFormatting sqref="A1:A1048576">
    <cfRule type="duplicateValues" dxfId="2" priority="1"/>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workbookViewId="0">
      <selection activeCell="L9" sqref="L9"/>
    </sheetView>
  </sheetViews>
  <sheetFormatPr defaultColWidth="12.5703125" defaultRowHeight="15" customHeight="1"/>
  <cols>
    <col min="1" max="1" width="53.28515625" customWidth="1"/>
    <col min="2" max="2" width="20.42578125" customWidth="1"/>
    <col min="3" max="3" width="12.140625" customWidth="1"/>
    <col min="4" max="4" width="20.7109375" customWidth="1"/>
    <col min="5" max="5" width="29.85546875" customWidth="1"/>
    <col min="6" max="6" width="9.140625" customWidth="1"/>
    <col min="7" max="7" width="16.140625" customWidth="1"/>
    <col min="8" max="26" width="8.5703125" customWidth="1"/>
  </cols>
  <sheetData>
    <row r="1" spans="1:26" ht="21">
      <c r="A1" s="13" t="s">
        <v>262</v>
      </c>
      <c r="B1" s="8"/>
      <c r="C1" s="8"/>
      <c r="D1" s="8"/>
      <c r="E1" s="8"/>
      <c r="F1" s="8"/>
      <c r="G1" s="8"/>
      <c r="H1" s="8"/>
      <c r="I1" s="8"/>
      <c r="J1" s="8"/>
      <c r="K1" s="8"/>
      <c r="L1" s="8"/>
      <c r="M1" s="8"/>
      <c r="N1" s="8"/>
      <c r="O1" s="8"/>
      <c r="P1" s="8"/>
      <c r="Q1" s="8"/>
      <c r="R1" s="8"/>
      <c r="S1" s="8"/>
      <c r="T1" s="8"/>
      <c r="U1" s="8"/>
      <c r="V1" s="8"/>
      <c r="W1" s="8"/>
      <c r="X1" s="8"/>
      <c r="Y1" s="8"/>
      <c r="Z1" s="8"/>
    </row>
    <row r="2" spans="1:26">
      <c r="A2" s="8"/>
      <c r="B2" s="8"/>
      <c r="C2" s="8"/>
      <c r="D2" s="8"/>
      <c r="E2" s="8"/>
      <c r="F2" s="8"/>
      <c r="G2" s="8"/>
      <c r="H2" s="8"/>
      <c r="I2" s="8"/>
      <c r="J2" s="8"/>
      <c r="K2" s="8"/>
      <c r="L2" s="8"/>
      <c r="M2" s="8"/>
      <c r="N2" s="8"/>
      <c r="O2" s="8"/>
      <c r="P2" s="8"/>
      <c r="Q2" s="8"/>
      <c r="R2" s="8"/>
      <c r="S2" s="8"/>
      <c r="T2" s="8"/>
      <c r="U2" s="8"/>
      <c r="V2" s="8"/>
      <c r="W2" s="8"/>
      <c r="X2" s="8"/>
      <c r="Y2" s="8"/>
      <c r="Z2" s="8"/>
    </row>
    <row r="3" spans="1:26">
      <c r="A3" s="9"/>
      <c r="B3" s="9"/>
      <c r="C3" s="8"/>
      <c r="D3" s="8"/>
      <c r="E3" s="8"/>
      <c r="F3" s="8"/>
      <c r="G3" s="8"/>
      <c r="H3" s="8"/>
      <c r="I3" s="8"/>
      <c r="J3" s="8"/>
      <c r="K3" s="8"/>
      <c r="L3" s="8"/>
      <c r="M3" s="8"/>
      <c r="N3" s="8"/>
      <c r="O3" s="8"/>
      <c r="P3" s="8"/>
      <c r="Q3" s="8"/>
      <c r="R3" s="8"/>
      <c r="S3" s="8"/>
      <c r="T3" s="8"/>
      <c r="U3" s="8"/>
      <c r="V3" s="8"/>
      <c r="W3" s="8"/>
      <c r="X3" s="8"/>
      <c r="Y3" s="8"/>
      <c r="Z3" s="8"/>
    </row>
    <row r="4" spans="1:26" ht="18.75">
      <c r="A4" s="14" t="s">
        <v>263</v>
      </c>
      <c r="B4" s="8"/>
      <c r="C4" s="8"/>
      <c r="D4" s="8"/>
      <c r="E4" s="8"/>
      <c r="F4" s="8"/>
      <c r="G4" s="8"/>
      <c r="H4" s="8"/>
      <c r="I4" s="8"/>
      <c r="J4" s="8"/>
      <c r="K4" s="8"/>
      <c r="L4" s="8"/>
      <c r="M4" s="8"/>
      <c r="N4" s="8"/>
      <c r="O4" s="8"/>
      <c r="P4" s="8"/>
      <c r="Q4" s="8"/>
      <c r="R4" s="8"/>
      <c r="S4" s="8"/>
      <c r="T4" s="8"/>
      <c r="U4" s="8"/>
      <c r="V4" s="8"/>
      <c r="W4" s="8"/>
      <c r="X4" s="8"/>
      <c r="Y4" s="8"/>
      <c r="Z4" s="8"/>
    </row>
    <row r="5" spans="1:26">
      <c r="A5" s="8"/>
      <c r="B5" s="8"/>
      <c r="C5" s="8"/>
      <c r="D5" s="8"/>
      <c r="E5" s="8"/>
      <c r="F5" s="8"/>
      <c r="G5" s="8"/>
      <c r="H5" s="8"/>
      <c r="I5" s="8"/>
      <c r="J5" s="8"/>
      <c r="K5" s="8"/>
      <c r="L5" s="8"/>
      <c r="M5" s="8"/>
      <c r="N5" s="8"/>
      <c r="O5" s="8"/>
      <c r="P5" s="8"/>
      <c r="Q5" s="8"/>
      <c r="R5" s="8"/>
      <c r="S5" s="8"/>
      <c r="T5" s="8"/>
      <c r="U5" s="8"/>
      <c r="V5" s="8"/>
      <c r="W5" s="8"/>
      <c r="X5" s="8"/>
      <c r="Y5" s="8"/>
      <c r="Z5" s="8"/>
    </row>
    <row r="6" spans="1:26">
      <c r="A6" s="15" t="s">
        <v>264</v>
      </c>
      <c r="B6" s="16"/>
      <c r="C6" s="8"/>
      <c r="D6" s="8"/>
      <c r="E6" s="8"/>
      <c r="F6" s="8"/>
      <c r="G6" s="8"/>
      <c r="H6" s="8"/>
      <c r="I6" s="8"/>
      <c r="J6" s="8"/>
      <c r="K6" s="8"/>
      <c r="L6" s="8"/>
      <c r="M6" s="8"/>
      <c r="N6" s="8"/>
      <c r="O6" s="8"/>
      <c r="P6" s="8"/>
      <c r="Q6" s="8"/>
      <c r="R6" s="8"/>
      <c r="S6" s="8"/>
      <c r="T6" s="8"/>
      <c r="U6" s="8"/>
      <c r="V6" s="8"/>
      <c r="W6" s="8"/>
      <c r="X6" s="8"/>
      <c r="Y6" s="8"/>
      <c r="Z6" s="8"/>
    </row>
    <row r="7" spans="1:26">
      <c r="A7" s="17" t="s">
        <v>265</v>
      </c>
      <c r="B7" s="18">
        <f>COUNTIF(DATA!AA:AA, "Y")</f>
        <v>22</v>
      </c>
      <c r="C7" s="8"/>
      <c r="D7" s="8"/>
      <c r="E7" s="8"/>
      <c r="F7" s="8"/>
      <c r="G7" s="8"/>
      <c r="H7" s="8"/>
      <c r="I7" s="8"/>
      <c r="J7" s="8"/>
      <c r="K7" s="8"/>
      <c r="L7" s="8"/>
      <c r="M7" s="8"/>
      <c r="N7" s="8"/>
      <c r="O7" s="8"/>
      <c r="P7" s="8"/>
      <c r="Q7" s="8"/>
      <c r="R7" s="8"/>
      <c r="S7" s="8"/>
      <c r="T7" s="8"/>
      <c r="U7" s="8"/>
      <c r="V7" s="8"/>
      <c r="W7" s="8"/>
      <c r="X7" s="8"/>
      <c r="Y7" s="8"/>
      <c r="Z7" s="8"/>
    </row>
    <row r="8" spans="1:26">
      <c r="A8" s="19" t="s">
        <v>266</v>
      </c>
      <c r="B8" s="20">
        <f>SUMIF(DATA!AA:AA, "Y", DATA!J:J)</f>
        <v>10106000</v>
      </c>
      <c r="C8" s="8"/>
      <c r="D8" s="8"/>
      <c r="E8" s="8"/>
      <c r="F8" s="8"/>
      <c r="G8" s="8"/>
      <c r="H8" s="8"/>
      <c r="I8" s="8"/>
      <c r="J8" s="8"/>
      <c r="K8" s="8"/>
      <c r="L8" s="8"/>
      <c r="M8" s="8"/>
      <c r="N8" s="8"/>
      <c r="O8" s="8"/>
      <c r="P8" s="8"/>
      <c r="Q8" s="8"/>
      <c r="R8" s="8"/>
      <c r="S8" s="8"/>
      <c r="T8" s="8"/>
      <c r="U8" s="8"/>
      <c r="V8" s="8"/>
      <c r="W8" s="8"/>
      <c r="X8" s="8"/>
      <c r="Y8" s="8"/>
      <c r="Z8" s="8"/>
    </row>
    <row r="9" spans="1:26">
      <c r="A9" s="10"/>
      <c r="B9" s="8"/>
      <c r="C9" s="8"/>
      <c r="D9" s="8"/>
      <c r="E9" s="8"/>
      <c r="F9" s="8"/>
      <c r="G9" s="8"/>
      <c r="H9" s="8"/>
      <c r="I9" s="8"/>
      <c r="J9" s="8"/>
      <c r="K9" s="8"/>
      <c r="L9" s="8"/>
      <c r="M9" s="8"/>
      <c r="N9" s="8"/>
      <c r="O9" s="8"/>
      <c r="P9" s="8"/>
      <c r="Q9" s="8"/>
      <c r="R9" s="8"/>
      <c r="S9" s="8"/>
      <c r="T9" s="8"/>
      <c r="U9" s="8"/>
      <c r="V9" s="8"/>
      <c r="W9" s="8"/>
      <c r="X9" s="8"/>
      <c r="Y9" s="8"/>
      <c r="Z9" s="8"/>
    </row>
    <row r="10" spans="1:26">
      <c r="A10" s="21" t="s">
        <v>267</v>
      </c>
      <c r="B10" s="22" t="s">
        <v>268</v>
      </c>
      <c r="C10" s="8"/>
      <c r="D10" s="8"/>
      <c r="E10" s="8"/>
      <c r="F10" s="8"/>
      <c r="G10" s="8"/>
      <c r="H10" s="8"/>
      <c r="I10" s="8"/>
      <c r="J10" s="8"/>
      <c r="K10" s="8"/>
      <c r="L10" s="8"/>
      <c r="M10" s="8"/>
      <c r="N10" s="8"/>
      <c r="O10" s="8"/>
      <c r="P10" s="8"/>
      <c r="Q10" s="8"/>
      <c r="R10" s="8"/>
      <c r="S10" s="8"/>
      <c r="T10" s="8"/>
      <c r="U10" s="8"/>
      <c r="V10" s="8"/>
      <c r="W10" s="8"/>
      <c r="X10" s="8"/>
      <c r="Y10" s="8"/>
      <c r="Z10" s="8"/>
    </row>
    <row r="11" spans="1:26">
      <c r="A11" s="23" t="s">
        <v>269</v>
      </c>
      <c r="B11" s="24">
        <f>COUNTIFS(DATA!$V$2:$V$101, FALSE, DATA!$AA$2:$AA$101, "N")</f>
        <v>5</v>
      </c>
      <c r="C11" s="8"/>
      <c r="D11" s="8"/>
      <c r="E11" s="8"/>
      <c r="F11" s="8"/>
      <c r="G11" s="8"/>
      <c r="H11" s="8"/>
      <c r="I11" s="8"/>
      <c r="J11" s="8"/>
      <c r="K11" s="8"/>
      <c r="L11" s="8"/>
      <c r="M11" s="8"/>
      <c r="N11" s="8"/>
      <c r="O11" s="8"/>
      <c r="P11" s="8"/>
      <c r="Q11" s="8"/>
      <c r="R11" s="8"/>
      <c r="S11" s="8"/>
      <c r="T11" s="8"/>
      <c r="U11" s="8"/>
      <c r="V11" s="8"/>
      <c r="W11" s="8"/>
      <c r="X11" s="8"/>
      <c r="Y11" s="8"/>
      <c r="Z11" s="8"/>
    </row>
    <row r="12" spans="1:26">
      <c r="A12" s="19" t="s">
        <v>270</v>
      </c>
      <c r="B12" s="25">
        <f>COUNTIFS(DATA!$W$2:$W$101, FALSE, DATA!$AA$2:$AA$101, "N")</f>
        <v>2</v>
      </c>
      <c r="C12" s="8"/>
      <c r="D12" s="8"/>
      <c r="E12" s="8"/>
      <c r="F12" s="8"/>
      <c r="G12" s="8"/>
      <c r="H12" s="8"/>
      <c r="I12" s="8"/>
      <c r="J12" s="8"/>
      <c r="K12" s="8"/>
      <c r="L12" s="8"/>
      <c r="M12" s="8"/>
      <c r="N12" s="8"/>
      <c r="O12" s="8"/>
      <c r="P12" s="8"/>
      <c r="Q12" s="8"/>
      <c r="R12" s="8"/>
      <c r="S12" s="8"/>
      <c r="T12" s="8"/>
      <c r="U12" s="8"/>
      <c r="V12" s="8"/>
      <c r="W12" s="8"/>
      <c r="X12" s="8"/>
      <c r="Y12" s="8"/>
      <c r="Z12" s="8"/>
    </row>
    <row r="13" spans="1:26">
      <c r="A13" s="23" t="s">
        <v>271</v>
      </c>
      <c r="B13" s="25">
        <f>COUNTIFS(DATA!$X$2:$X$101, FALSE, DATA!$AA$2:$AA$101, "N")</f>
        <v>8</v>
      </c>
      <c r="C13" s="8"/>
      <c r="D13" s="8"/>
      <c r="E13" s="8"/>
      <c r="F13" s="8"/>
      <c r="G13" s="8"/>
      <c r="H13" s="8"/>
      <c r="I13" s="8"/>
      <c r="J13" s="8"/>
      <c r="K13" s="8"/>
      <c r="L13" s="8"/>
      <c r="M13" s="8"/>
      <c r="N13" s="8"/>
      <c r="O13" s="8"/>
      <c r="P13" s="8"/>
      <c r="Q13" s="8"/>
      <c r="R13" s="8"/>
      <c r="S13" s="8"/>
      <c r="T13" s="8"/>
      <c r="U13" s="8"/>
      <c r="V13" s="8"/>
      <c r="W13" s="8"/>
      <c r="X13" s="8"/>
      <c r="Y13" s="8"/>
      <c r="Z13" s="8"/>
    </row>
    <row r="14" spans="1:26" ht="15.75">
      <c r="A14" s="38" t="s">
        <v>272</v>
      </c>
      <c r="B14" s="26">
        <f>COUNTIFS(DATA!$Y$2:$Y$101, FALSE, DATA!$AA$2:$AA$101, "N")</f>
        <v>56</v>
      </c>
      <c r="C14" s="8"/>
      <c r="D14" s="8"/>
      <c r="E14" s="8"/>
      <c r="F14" s="8"/>
      <c r="G14" s="8"/>
      <c r="H14" s="8"/>
      <c r="I14" s="8"/>
      <c r="J14" s="8"/>
      <c r="K14" s="8"/>
      <c r="L14" s="8"/>
      <c r="M14" s="8"/>
      <c r="N14" s="8"/>
      <c r="O14" s="8"/>
      <c r="P14" s="8"/>
      <c r="Q14" s="8"/>
      <c r="R14" s="8"/>
      <c r="S14" s="8"/>
      <c r="T14" s="8"/>
      <c r="U14" s="8"/>
      <c r="V14" s="8"/>
      <c r="W14" s="8"/>
      <c r="X14" s="8"/>
      <c r="Y14" s="8"/>
      <c r="Z14" s="8"/>
    </row>
    <row r="15" spans="1:26" ht="15.75">
      <c r="A15" s="39" t="s">
        <v>273</v>
      </c>
      <c r="B15" s="27">
        <f>COUNTIFS(DATA!$Z$2:$Z$101, FALSE, DATA!$AA$2:$AA$101, "N")</f>
        <v>73</v>
      </c>
      <c r="C15" s="8"/>
      <c r="D15" s="8"/>
      <c r="E15" s="8"/>
      <c r="F15" s="8"/>
      <c r="G15" s="8"/>
      <c r="H15" s="8"/>
      <c r="I15" s="8"/>
      <c r="J15" s="8"/>
      <c r="K15" s="8"/>
      <c r="L15" s="8"/>
      <c r="M15" s="8"/>
      <c r="N15" s="8"/>
      <c r="O15" s="8"/>
      <c r="P15" s="8"/>
      <c r="Q15" s="8"/>
      <c r="R15" s="8"/>
      <c r="S15" s="8"/>
      <c r="T15" s="8"/>
      <c r="U15" s="8"/>
      <c r="V15" s="8"/>
      <c r="W15" s="8"/>
      <c r="X15" s="8"/>
      <c r="Y15" s="8"/>
      <c r="Z15" s="8"/>
    </row>
    <row r="16" spans="1:26">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69"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228" customHeight="1">
      <c r="A18" s="28" t="s">
        <v>285</v>
      </c>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11"/>
      <c r="B19" s="8"/>
      <c r="C19" s="8"/>
      <c r="D19" s="8"/>
      <c r="E19" s="8"/>
      <c r="F19" s="8"/>
      <c r="G19" s="8"/>
      <c r="H19" s="8"/>
      <c r="I19" s="8"/>
      <c r="J19" s="8"/>
      <c r="K19" s="8"/>
      <c r="L19" s="8"/>
      <c r="M19" s="8"/>
      <c r="N19" s="8"/>
      <c r="O19" s="8"/>
      <c r="P19" s="8"/>
      <c r="Q19" s="8"/>
      <c r="R19" s="8"/>
      <c r="S19" s="8"/>
      <c r="T19" s="8"/>
      <c r="U19" s="8"/>
      <c r="V19" s="8"/>
      <c r="W19" s="8"/>
      <c r="X19" s="8"/>
      <c r="Y19" s="8"/>
      <c r="Z19" s="8"/>
    </row>
    <row r="20" spans="1:26" ht="18.75">
      <c r="A20" s="14" t="s">
        <v>274</v>
      </c>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c r="A21" s="11"/>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c r="A22" s="29" t="s">
        <v>275</v>
      </c>
      <c r="B22" s="30" t="s">
        <v>276</v>
      </c>
      <c r="C22" s="29" t="s">
        <v>277</v>
      </c>
      <c r="D22" s="29" t="s">
        <v>278</v>
      </c>
      <c r="E22" s="29" t="s">
        <v>279</v>
      </c>
      <c r="F22" s="8"/>
      <c r="G22" s="8"/>
      <c r="H22" s="8"/>
      <c r="I22" s="8"/>
      <c r="J22" s="8"/>
      <c r="K22" s="8"/>
      <c r="L22" s="8"/>
      <c r="M22" s="8"/>
      <c r="N22" s="8"/>
      <c r="O22" s="8"/>
      <c r="P22" s="8"/>
      <c r="Q22" s="8"/>
      <c r="R22" s="8"/>
      <c r="S22" s="8"/>
      <c r="T22" s="8"/>
      <c r="U22" s="8"/>
      <c r="V22" s="8"/>
      <c r="W22" s="8"/>
      <c r="X22" s="8"/>
      <c r="Y22" s="8"/>
      <c r="Z22" s="8"/>
    </row>
    <row r="23" spans="1:26" ht="15.75" customHeight="1">
      <c r="A23" s="31" t="s">
        <v>280</v>
      </c>
      <c r="B23" s="32">
        <f>SUMIFS(DATA!$J$2:$J$101, DATA!$F$2:$F$101, "CA", DATA!$AA$2:$AA$101, "Y")</f>
        <v>3710000</v>
      </c>
      <c r="C23" s="33">
        <v>0.2</v>
      </c>
      <c r="D23" s="34" cm="1">
        <f t="array" ref="D23">Table_3[Facility Size]*Table_2[[#This Row],[Limit %]]</f>
        <v>40000000</v>
      </c>
      <c r="E23" s="31" t="str">
        <f>IF(
  'Overview Summary'!$D23 &gt;= 'Overview Summary'!$B23,
  "Within Limit (" &amp; TEXT('Overview Summary'!$D23 - 'Overview Summary'!$B23, "$#,##0.00") &amp; " left)",
  "Breach (" &amp; TEXT('Overview Summary'!$B23 - 'Overview Summary'!$D23, "$#,##0.00") &amp; " over)"
)</f>
        <v>Within Limit ($36,290,000.00 left)</v>
      </c>
      <c r="F23" s="8"/>
      <c r="G23" s="8"/>
      <c r="H23" s="8"/>
      <c r="I23" s="8"/>
      <c r="J23" s="8"/>
      <c r="K23" s="8"/>
      <c r="L23" s="8"/>
      <c r="M23" s="8"/>
      <c r="N23" s="8"/>
      <c r="O23" s="8"/>
      <c r="P23" s="8"/>
      <c r="Q23" s="8"/>
      <c r="R23" s="8"/>
      <c r="S23" s="8"/>
      <c r="T23" s="8"/>
      <c r="U23" s="8"/>
      <c r="V23" s="8"/>
      <c r="W23" s="8"/>
      <c r="X23" s="8"/>
      <c r="Y23" s="8"/>
      <c r="Z23" s="8"/>
    </row>
    <row r="24" spans="1:26" ht="15.75" customHeight="1">
      <c r="A24" s="31" t="s">
        <v>271</v>
      </c>
      <c r="B24" s="32">
        <f>SUMIFS(DATA!$J$2:$J$101, DATA!$J$2:$J$101, "&gt;800000", DATA!$AA$2:$AA$101, "Y")</f>
        <v>0</v>
      </c>
      <c r="C24" s="33">
        <v>0.05</v>
      </c>
      <c r="D24" s="34" cm="1">
        <f t="array" ref="D24">Table_3[Facility Size]*Table_2[[#This Row],[Limit %]]</f>
        <v>10000000</v>
      </c>
      <c r="E24" s="31" t="str">
        <f>IF(
  'Overview Summary'!$D24 &gt;= 'Overview Summary'!$B24,
  "Within Limit (" &amp; TEXT('Overview Summary'!$D24 - 'Overview Summary'!$B24, "$#,##0.00") &amp; " left)",
  "Breach (" &amp; TEXT('Overview Summary'!$B24 - 'Overview Summary'!$D24, "$#,##0.00") &amp; " over)"
)</f>
        <v>Within Limit ($10,000,000.00 left)</v>
      </c>
      <c r="F24" s="8"/>
      <c r="G24" s="8"/>
      <c r="H24" s="8"/>
      <c r="I24" s="8"/>
      <c r="J24" s="8"/>
      <c r="K24" s="8"/>
      <c r="L24" s="8"/>
      <c r="M24" s="8"/>
      <c r="N24" s="8"/>
      <c r="O24" s="8"/>
      <c r="P24" s="8"/>
      <c r="Q24" s="8"/>
      <c r="R24" s="8"/>
      <c r="S24" s="8"/>
      <c r="T24" s="8"/>
      <c r="U24" s="8"/>
      <c r="V24" s="8"/>
      <c r="W24" s="8"/>
      <c r="X24" s="8"/>
      <c r="Y24" s="8"/>
      <c r="Z24" s="8"/>
    </row>
    <row r="25" spans="1:26" ht="15.75" customHeight="1">
      <c r="A25" s="31" t="s">
        <v>281</v>
      </c>
      <c r="B25" s="34">
        <f>SUMIFS(DATA!$J$2:$J$101, DATA!$I$2:$I$101, "&gt;10", DATA!$AA$2:$AA$101, "Y")</f>
        <v>642000</v>
      </c>
      <c r="C25" s="33">
        <v>0.15</v>
      </c>
      <c r="D25" s="34" cm="1">
        <f t="array" ref="D25">Table_3[Facility Size]*Table_2[[#This Row],[Limit %]]</f>
        <v>30000000</v>
      </c>
      <c r="E25" s="31" t="str">
        <f>IF(
  'Overview Summary'!$D25 &gt;= 'Overview Summary'!$B25,
  "Within Limit (" &amp; TEXT('Overview Summary'!$D25 - 'Overview Summary'!$B25, "$#,##0.00") &amp; " left)",
  "Breach (" &amp; TEXT('Overview Summary'!$B25 - 'Overview Summary'!$D25, "$#,##0.00") &amp; " over)"
)</f>
        <v>Within Limit ($29,358,000.00 left)</v>
      </c>
      <c r="F25" s="8"/>
      <c r="G25" s="29" t="s">
        <v>282</v>
      </c>
      <c r="H25" s="8"/>
      <c r="I25" s="8"/>
      <c r="J25" s="8"/>
      <c r="K25" s="8"/>
      <c r="L25" s="8"/>
      <c r="M25" s="8"/>
      <c r="N25" s="8"/>
      <c r="O25" s="8"/>
      <c r="P25" s="8"/>
      <c r="Q25" s="8"/>
      <c r="R25" s="8"/>
      <c r="S25" s="8"/>
      <c r="T25" s="8"/>
      <c r="U25" s="8"/>
      <c r="V25" s="8"/>
      <c r="W25" s="8"/>
      <c r="X25" s="8"/>
      <c r="Y25" s="8"/>
      <c r="Z25" s="8"/>
    </row>
    <row r="26" spans="1:26" ht="15.75" customHeight="1">
      <c r="A26" s="31" t="s">
        <v>283</v>
      </c>
      <c r="B26" s="32">
        <f>SUMIFS(DATA!$J$2:$J$101, DATA!$O$2:$O$101, "&gt; 0.75", DATA!$AA$2:$AA$101, "Y")</f>
        <v>0</v>
      </c>
      <c r="C26" s="33">
        <v>0.1</v>
      </c>
      <c r="D26" s="34" cm="1">
        <f t="array" ref="D26">Table_3[Facility Size]*Table_2[[#This Row],[Limit %]]</f>
        <v>20000000</v>
      </c>
      <c r="E26" s="31" t="str">
        <f>IF(
  'Overview Summary'!$D26 &gt;= 'Overview Summary'!$B26,
  "Within Limit (" &amp; TEXT('Overview Summary'!$D26 - 'Overview Summary'!$B26, "$#,##0.00") &amp; " left)",
  "Breach (" &amp; TEXT('Overview Summary'!$B26 - 'Overview Summary'!$D26, "$#,##0.00") &amp; " over)"
)</f>
        <v>Within Limit ($20,000,000.00 left)</v>
      </c>
      <c r="F26" s="8"/>
      <c r="G26" s="12">
        <v>200000000</v>
      </c>
      <c r="H26" s="8"/>
      <c r="I26" s="8"/>
      <c r="J26" s="8"/>
      <c r="K26" s="8"/>
      <c r="L26" s="8"/>
      <c r="M26" s="8"/>
      <c r="N26" s="8"/>
      <c r="O26" s="8"/>
      <c r="P26" s="8"/>
      <c r="Q26" s="8"/>
      <c r="R26" s="8"/>
      <c r="S26" s="8"/>
      <c r="T26" s="8"/>
      <c r="U26" s="8"/>
      <c r="V26" s="8"/>
      <c r="W26" s="8"/>
      <c r="X26" s="8"/>
      <c r="Y26" s="8"/>
      <c r="Z26" s="8"/>
    </row>
    <row r="27" spans="1:26" ht="15.75" customHeight="1">
      <c r="A27" s="11"/>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11"/>
      <c r="B28" s="8"/>
      <c r="C28" s="8"/>
      <c r="D28" s="8"/>
      <c r="E28" s="8"/>
      <c r="F28" s="8"/>
      <c r="G28" s="8"/>
      <c r="H28" s="8"/>
      <c r="I28" s="8"/>
      <c r="J28" s="8"/>
      <c r="K28" s="8"/>
      <c r="L28" s="8"/>
      <c r="M28" s="8"/>
      <c r="N28" s="8"/>
      <c r="O28" s="8"/>
      <c r="P28" s="8"/>
      <c r="Q28" s="8"/>
      <c r="R28" s="8"/>
      <c r="S28" s="8"/>
      <c r="T28" s="8"/>
      <c r="U28" s="8"/>
      <c r="V28" s="8"/>
      <c r="W28" s="8"/>
      <c r="X28" s="8"/>
      <c r="Y28" s="8"/>
      <c r="Z28" s="8"/>
    </row>
    <row r="29" spans="1:26" ht="213.75" customHeight="1">
      <c r="A29" s="28" t="s">
        <v>284</v>
      </c>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conditionalFormatting sqref="E22:E26">
    <cfRule type="containsText" dxfId="12" priority="1" operator="containsText" text="Within Limit">
      <formula>NOT(ISERROR(SEARCH(("Within Limit"),(E22))))</formula>
    </cfRule>
  </conditionalFormatting>
  <pageMargins left="0.7" right="0.7" top="0.75" bottom="0.75" header="0" footer="0"/>
  <pageSetup orientation="landscape"/>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Overview Summary</vt:lpstr>
      <vt:lpstr>DataTapeFirstCell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Chih-Chiao Chuang</cp:lastModifiedBy>
  <dcterms:modified xsi:type="dcterms:W3CDTF">2026-01-20T21:10:25Z</dcterms:modified>
</cp:coreProperties>
</file>